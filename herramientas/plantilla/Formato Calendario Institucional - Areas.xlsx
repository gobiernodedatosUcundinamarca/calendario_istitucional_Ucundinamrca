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calendario_istitucional_Ucundinamrca\herramientas\plantilla\"/>
    </mc:Choice>
  </mc:AlternateContent>
  <xr:revisionPtr revIDLastSave="0" documentId="13_ncr:1_{7290AC74-3558-4010-AF4A-74E923B78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ciones" sheetId="1" r:id="rId1"/>
    <sheet name="1. Datos del área" sheetId="2" r:id="rId2"/>
    <sheet name="2. Actividades" sheetId="3" r:id="rId3"/>
    <sheet name="Ejemplos" sheetId="4" r:id="rId4"/>
    <sheet name="Listas" sheetId="5" state="hidden" r:id="rId5"/>
  </sheets>
  <definedNames>
    <definedName name="_xlnm._FilterDatabase" localSheetId="2" hidden="1">'2. Actividades'!$A$1:$Z$301</definedName>
    <definedName name="CalendarioPrincipal">'1. Datos del área'!$B$7</definedName>
    <definedName name="Dias">Listas!$F$2:$F$732</definedName>
    <definedName name="Festivos">Listas!$E$2:$E$55</definedName>
    <definedName name="Lista_Areas">Listas!$H$2:$H$62</definedName>
    <definedName name="Lista_Calendario">Listas!$G$2:$G$3</definedName>
    <definedName name="Lista_Categoria">Listas!$A$2:$A$20</definedName>
    <definedName name="Lista_Repite">Listas!$C$2:$C$9</definedName>
    <definedName name="Lista_Sede">Listas!$B$2:$B$10</definedName>
    <definedName name="Lista_UnidadLider">Listas!$D$2:$D$4</definedName>
    <definedName name="SedePrincipal">'1. Datos del área'!$B$6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2" i="3" l="1"/>
  <c r="AE23" i="3"/>
  <c r="AE24" i="3"/>
  <c r="AE33" i="3"/>
  <c r="AE34" i="3"/>
  <c r="AE38" i="3"/>
  <c r="AE41" i="3"/>
  <c r="AI41" i="3" s="1"/>
  <c r="AE43" i="3"/>
  <c r="AE49" i="3"/>
  <c r="AE61" i="3"/>
  <c r="AE62" i="3"/>
  <c r="AE63" i="3"/>
  <c r="AE64" i="3"/>
  <c r="AE91" i="3"/>
  <c r="AE95" i="3"/>
  <c r="AE96" i="3"/>
  <c r="AE97" i="3"/>
  <c r="AE110" i="3"/>
  <c r="AE114" i="3"/>
  <c r="AE115" i="3"/>
  <c r="AE118" i="3"/>
  <c r="AE119" i="3"/>
  <c r="AE120" i="3"/>
  <c r="AE121" i="3"/>
  <c r="AE140" i="3"/>
  <c r="AE141" i="3"/>
  <c r="AE145" i="3"/>
  <c r="AE156" i="3"/>
  <c r="AE162" i="3"/>
  <c r="AE163" i="3"/>
  <c r="AE164" i="3"/>
  <c r="AE167" i="3"/>
  <c r="AE168" i="3"/>
  <c r="AE177" i="3"/>
  <c r="AE178" i="3"/>
  <c r="AE193" i="3"/>
  <c r="AE199" i="3"/>
  <c r="AE204" i="3"/>
  <c r="AE205" i="3"/>
  <c r="AE208" i="3"/>
  <c r="AE213" i="3"/>
  <c r="AE214" i="3"/>
  <c r="AE215" i="3"/>
  <c r="AE228" i="3"/>
  <c r="AE229" i="3"/>
  <c r="AE230" i="3"/>
  <c r="AE256" i="3"/>
  <c r="AE257" i="3"/>
  <c r="AE259" i="3"/>
  <c r="AE265" i="3"/>
  <c r="AE275" i="3"/>
  <c r="AE277" i="3"/>
  <c r="AE278" i="3"/>
  <c r="AE280" i="3"/>
  <c r="AE288" i="3"/>
  <c r="AF288" i="3" s="1"/>
  <c r="AG288" i="3" s="1"/>
  <c r="AE289" i="3"/>
  <c r="AE299" i="3"/>
  <c r="AE300" i="3"/>
  <c r="AE301" i="3"/>
  <c r="B18" i="2"/>
  <c r="AD7" i="4"/>
  <c r="AB7" i="4"/>
  <c r="AE7" i="4" s="1"/>
  <c r="AD6" i="4"/>
  <c r="AB6" i="4"/>
  <c r="AH6" i="4" s="1"/>
  <c r="AD5" i="4"/>
  <c r="AB5" i="4"/>
  <c r="AC5" i="4" s="1"/>
  <c r="AD4" i="4"/>
  <c r="AB4" i="4"/>
  <c r="AE4" i="4" s="1"/>
  <c r="AD3" i="4"/>
  <c r="AB3" i="4"/>
  <c r="AE3" i="4" s="1"/>
  <c r="AD2" i="4"/>
  <c r="AB2" i="4"/>
  <c r="AE2" i="4" s="1"/>
  <c r="AD301" i="3"/>
  <c r="AB301" i="3"/>
  <c r="AH301" i="3" s="1"/>
  <c r="AD300" i="3"/>
  <c r="AB300" i="3"/>
  <c r="M300" i="3" s="1"/>
  <c r="AD299" i="3"/>
  <c r="AB299" i="3"/>
  <c r="AD298" i="3"/>
  <c r="AB298" i="3"/>
  <c r="AH298" i="3" s="1"/>
  <c r="AD297" i="3"/>
  <c r="AB297" i="3"/>
  <c r="AE297" i="3" s="1"/>
  <c r="AD296" i="3"/>
  <c r="AB296" i="3"/>
  <c r="AH296" i="3" s="1"/>
  <c r="AD295" i="3"/>
  <c r="AB295" i="3"/>
  <c r="AE295" i="3" s="1"/>
  <c r="AD294" i="3"/>
  <c r="AB294" i="3"/>
  <c r="M294" i="3" s="1"/>
  <c r="AD293" i="3"/>
  <c r="AB293" i="3"/>
  <c r="M293" i="3" s="1"/>
  <c r="AD292" i="3"/>
  <c r="AB292" i="3"/>
  <c r="M292" i="3" s="1"/>
  <c r="AD291" i="3"/>
  <c r="AB291" i="3"/>
  <c r="AH291" i="3" s="1"/>
  <c r="AD290" i="3"/>
  <c r="AB290" i="3"/>
  <c r="AE290" i="3" s="1"/>
  <c r="AD289" i="3"/>
  <c r="AB289" i="3"/>
  <c r="AD288" i="3"/>
  <c r="AB288" i="3"/>
  <c r="AH288" i="3" s="1"/>
  <c r="AD287" i="3"/>
  <c r="AB287" i="3"/>
  <c r="AE287" i="3" s="1"/>
  <c r="AD286" i="3"/>
  <c r="AB286" i="3"/>
  <c r="M286" i="3" s="1"/>
  <c r="AD285" i="3"/>
  <c r="AB285" i="3"/>
  <c r="AC285" i="3" s="1"/>
  <c r="AD284" i="3"/>
  <c r="AB284" i="3"/>
  <c r="AE284" i="3" s="1"/>
  <c r="M284" i="3"/>
  <c r="AD283" i="3"/>
  <c r="AB283" i="3"/>
  <c r="AC283" i="3" s="1"/>
  <c r="AD282" i="3"/>
  <c r="AB282" i="3"/>
  <c r="M282" i="3" s="1"/>
  <c r="AD281" i="3"/>
  <c r="AB281" i="3"/>
  <c r="AH281" i="3" s="1"/>
  <c r="AD280" i="3"/>
  <c r="AB280" i="3"/>
  <c r="AC280" i="3" s="1"/>
  <c r="AD279" i="3"/>
  <c r="AB279" i="3"/>
  <c r="AE279" i="3" s="1"/>
  <c r="AD278" i="3"/>
  <c r="AB278" i="3"/>
  <c r="M278" i="3" s="1"/>
  <c r="AD277" i="3"/>
  <c r="AB277" i="3"/>
  <c r="AH277" i="3" s="1"/>
  <c r="M277" i="3"/>
  <c r="AD276" i="3"/>
  <c r="AB276" i="3"/>
  <c r="M276" i="3"/>
  <c r="AD275" i="3"/>
  <c r="AB275" i="3"/>
  <c r="AD274" i="3"/>
  <c r="AB274" i="3"/>
  <c r="AH274" i="3" s="1"/>
  <c r="M274" i="3"/>
  <c r="AD273" i="3"/>
  <c r="AB273" i="3"/>
  <c r="AE273" i="3" s="1"/>
  <c r="AD272" i="3"/>
  <c r="AB272" i="3"/>
  <c r="AE272" i="3" s="1"/>
  <c r="AD271" i="3"/>
  <c r="AB271" i="3"/>
  <c r="AE271" i="3" s="1"/>
  <c r="AD270" i="3"/>
  <c r="AB270" i="3"/>
  <c r="M270" i="3" s="1"/>
  <c r="AD269" i="3"/>
  <c r="AB269" i="3"/>
  <c r="AH269" i="3" s="1"/>
  <c r="AD268" i="3"/>
  <c r="AB268" i="3"/>
  <c r="AH268" i="3" s="1"/>
  <c r="AD267" i="3"/>
  <c r="AB267" i="3"/>
  <c r="AC267" i="3" s="1"/>
  <c r="AD266" i="3"/>
  <c r="AB266" i="3"/>
  <c r="AE266" i="3" s="1"/>
  <c r="AD265" i="3"/>
  <c r="AB265" i="3"/>
  <c r="AD264" i="3"/>
  <c r="AB264" i="3"/>
  <c r="AC264" i="3" s="1"/>
  <c r="AD263" i="3"/>
  <c r="AB263" i="3"/>
  <c r="AE263" i="3" s="1"/>
  <c r="AD262" i="3"/>
  <c r="AB262" i="3"/>
  <c r="M262" i="3" s="1"/>
  <c r="AD261" i="3"/>
  <c r="AB261" i="3"/>
  <c r="M261" i="3" s="1"/>
  <c r="AD260" i="3"/>
  <c r="AB260" i="3"/>
  <c r="M260" i="3" s="1"/>
  <c r="AD259" i="3"/>
  <c r="AB259" i="3"/>
  <c r="AH259" i="3" s="1"/>
  <c r="AD258" i="3"/>
  <c r="AB258" i="3"/>
  <c r="AH258" i="3" s="1"/>
  <c r="M258" i="3"/>
  <c r="AD257" i="3"/>
  <c r="AB257" i="3"/>
  <c r="AH257" i="3" s="1"/>
  <c r="AD256" i="3"/>
  <c r="AB256" i="3"/>
  <c r="AD255" i="3"/>
  <c r="AB255" i="3"/>
  <c r="M255" i="3" s="1"/>
  <c r="AD254" i="3"/>
  <c r="AB254" i="3"/>
  <c r="AE254" i="3" s="1"/>
  <c r="AD253" i="3"/>
  <c r="AB253" i="3"/>
  <c r="AH253" i="3" s="1"/>
  <c r="M253" i="3"/>
  <c r="AD252" i="3"/>
  <c r="AB252" i="3"/>
  <c r="AE252" i="3" s="1"/>
  <c r="AF252" i="3" s="1"/>
  <c r="AG252" i="3" s="1"/>
  <c r="M252" i="3"/>
  <c r="AD251" i="3"/>
  <c r="AB251" i="3"/>
  <c r="AE251" i="3" s="1"/>
  <c r="AD250" i="3"/>
  <c r="AB250" i="3"/>
  <c r="M250" i="3" s="1"/>
  <c r="AD249" i="3"/>
  <c r="AB249" i="3"/>
  <c r="AH249" i="3" s="1"/>
  <c r="AD248" i="3"/>
  <c r="AB248" i="3"/>
  <c r="M248" i="3" s="1"/>
  <c r="AD247" i="3"/>
  <c r="AB247" i="3"/>
  <c r="M247" i="3" s="1"/>
  <c r="AD246" i="3"/>
  <c r="AB246" i="3"/>
  <c r="M246" i="3" s="1"/>
  <c r="AD245" i="3"/>
  <c r="AB245" i="3"/>
  <c r="AE245" i="3" s="1"/>
  <c r="M245" i="3"/>
  <c r="AD244" i="3"/>
  <c r="AB244" i="3"/>
  <c r="AH244" i="3" s="1"/>
  <c r="M244" i="3"/>
  <c r="AD243" i="3"/>
  <c r="AB243" i="3"/>
  <c r="AC243" i="3" s="1"/>
  <c r="AD242" i="3"/>
  <c r="AB242" i="3"/>
  <c r="M242" i="3" s="1"/>
  <c r="AD241" i="3"/>
  <c r="AB241" i="3"/>
  <c r="AE241" i="3" s="1"/>
  <c r="AD240" i="3"/>
  <c r="AB240" i="3"/>
  <c r="M240" i="3" s="1"/>
  <c r="AD239" i="3"/>
  <c r="AB239" i="3"/>
  <c r="AE239" i="3" s="1"/>
  <c r="M239" i="3"/>
  <c r="AD238" i="3"/>
  <c r="AB238" i="3"/>
  <c r="AE238" i="3" s="1"/>
  <c r="AD237" i="3"/>
  <c r="AB237" i="3"/>
  <c r="AH237" i="3" s="1"/>
  <c r="M237" i="3"/>
  <c r="AD236" i="3"/>
  <c r="AB236" i="3"/>
  <c r="M236" i="3" s="1"/>
  <c r="AD235" i="3"/>
  <c r="AB235" i="3"/>
  <c r="AH235" i="3" s="1"/>
  <c r="AD234" i="3"/>
  <c r="AB234" i="3"/>
  <c r="AH234" i="3" s="1"/>
  <c r="M234" i="3"/>
  <c r="AD233" i="3"/>
  <c r="AB233" i="3"/>
  <c r="AE233" i="3" s="1"/>
  <c r="AD232" i="3"/>
  <c r="AB232" i="3"/>
  <c r="AH232" i="3" s="1"/>
  <c r="M232" i="3"/>
  <c r="AD231" i="3"/>
  <c r="AB231" i="3"/>
  <c r="M231" i="3" s="1"/>
  <c r="AD230" i="3"/>
  <c r="AB230" i="3"/>
  <c r="M230" i="3" s="1"/>
  <c r="AD229" i="3"/>
  <c r="AB229" i="3"/>
  <c r="AC229" i="3" s="1"/>
  <c r="M229" i="3"/>
  <c r="AD228" i="3"/>
  <c r="AB228" i="3"/>
  <c r="M228" i="3"/>
  <c r="AD227" i="3"/>
  <c r="AB227" i="3"/>
  <c r="AH227" i="3" s="1"/>
  <c r="AD226" i="3"/>
  <c r="AB226" i="3"/>
  <c r="M226" i="3" s="1"/>
  <c r="AD225" i="3"/>
  <c r="AB225" i="3"/>
  <c r="AH225" i="3" s="1"/>
  <c r="AD224" i="3"/>
  <c r="AB224" i="3"/>
  <c r="M224" i="3" s="1"/>
  <c r="AD223" i="3"/>
  <c r="AB223" i="3"/>
  <c r="AC223" i="3" s="1"/>
  <c r="AD222" i="3"/>
  <c r="AB222" i="3"/>
  <c r="AE222" i="3" s="1"/>
  <c r="M222" i="3"/>
  <c r="AD221" i="3"/>
  <c r="AB221" i="3"/>
  <c r="AE221" i="3" s="1"/>
  <c r="M221" i="3"/>
  <c r="AD220" i="3"/>
  <c r="AB220" i="3"/>
  <c r="M220" i="3" s="1"/>
  <c r="AD219" i="3"/>
  <c r="AB219" i="3"/>
  <c r="AC219" i="3" s="1"/>
  <c r="AD218" i="3"/>
  <c r="AB218" i="3"/>
  <c r="AC218" i="3" s="1"/>
  <c r="AD217" i="3"/>
  <c r="AB217" i="3"/>
  <c r="AH217" i="3" s="1"/>
  <c r="AD216" i="3"/>
  <c r="AB216" i="3"/>
  <c r="M216" i="3" s="1"/>
  <c r="AD215" i="3"/>
  <c r="AB215" i="3"/>
  <c r="AD214" i="3"/>
  <c r="AB214" i="3"/>
  <c r="M214" i="3" s="1"/>
  <c r="AD213" i="3"/>
  <c r="AB213" i="3"/>
  <c r="M213" i="3"/>
  <c r="AD212" i="3"/>
  <c r="AB212" i="3"/>
  <c r="AE212" i="3" s="1"/>
  <c r="AD211" i="3"/>
  <c r="AB211" i="3"/>
  <c r="AE211" i="3" s="1"/>
  <c r="M211" i="3"/>
  <c r="AD210" i="3"/>
  <c r="AB210" i="3"/>
  <c r="AC210" i="3" s="1"/>
  <c r="AD209" i="3"/>
  <c r="AB209" i="3"/>
  <c r="AE209" i="3" s="1"/>
  <c r="M209" i="3"/>
  <c r="AD208" i="3"/>
  <c r="AB208" i="3"/>
  <c r="M208" i="3" s="1"/>
  <c r="AD207" i="3"/>
  <c r="AB207" i="3"/>
  <c r="M207" i="3" s="1"/>
  <c r="AD206" i="3"/>
  <c r="AB206" i="3"/>
  <c r="AE206" i="3" s="1"/>
  <c r="AD205" i="3"/>
  <c r="AB205" i="3"/>
  <c r="AC205" i="3" s="1"/>
  <c r="AD204" i="3"/>
  <c r="AB204" i="3"/>
  <c r="AH204" i="3" s="1"/>
  <c r="M204" i="3"/>
  <c r="AD203" i="3"/>
  <c r="AB203" i="3"/>
  <c r="M203" i="3" s="1"/>
  <c r="AD202" i="3"/>
  <c r="AB202" i="3"/>
  <c r="AH202" i="3" s="1"/>
  <c r="AD201" i="3"/>
  <c r="AB201" i="3"/>
  <c r="AE201" i="3" s="1"/>
  <c r="AD200" i="3"/>
  <c r="AB200" i="3"/>
  <c r="AE200" i="3" s="1"/>
  <c r="M200" i="3"/>
  <c r="AD199" i="3"/>
  <c r="AB199" i="3"/>
  <c r="M199" i="3"/>
  <c r="AD198" i="3"/>
  <c r="AB198" i="3"/>
  <c r="M198" i="3" s="1"/>
  <c r="AD197" i="3"/>
  <c r="AB197" i="3"/>
  <c r="AE197" i="3" s="1"/>
  <c r="M197" i="3"/>
  <c r="AD196" i="3"/>
  <c r="AB196" i="3"/>
  <c r="AE196" i="3" s="1"/>
  <c r="AD195" i="3"/>
  <c r="AB195" i="3"/>
  <c r="AH195" i="3" s="1"/>
  <c r="AD194" i="3"/>
  <c r="AB194" i="3"/>
  <c r="AC194" i="3" s="1"/>
  <c r="AD193" i="3"/>
  <c r="AB193" i="3"/>
  <c r="M193" i="3"/>
  <c r="AD192" i="3"/>
  <c r="AB192" i="3"/>
  <c r="M192" i="3" s="1"/>
  <c r="AD191" i="3"/>
  <c r="AB191" i="3"/>
  <c r="M191" i="3" s="1"/>
  <c r="AD190" i="3"/>
  <c r="AB190" i="3"/>
  <c r="AE190" i="3" s="1"/>
  <c r="AD189" i="3"/>
  <c r="AB189" i="3"/>
  <c r="AE189" i="3" s="1"/>
  <c r="M189" i="3"/>
  <c r="AD188" i="3"/>
  <c r="AB188" i="3"/>
  <c r="AH188" i="3" s="1"/>
  <c r="M188" i="3"/>
  <c r="AD187" i="3"/>
  <c r="AB187" i="3"/>
  <c r="M187" i="3" s="1"/>
  <c r="AD186" i="3"/>
  <c r="AB186" i="3"/>
  <c r="AE186" i="3" s="1"/>
  <c r="AD185" i="3"/>
  <c r="AB185" i="3"/>
  <c r="AE185" i="3" s="1"/>
  <c r="AD184" i="3"/>
  <c r="AB184" i="3"/>
  <c r="AC184" i="3" s="1"/>
  <c r="AD183" i="3"/>
  <c r="AB183" i="3"/>
  <c r="M183" i="3" s="1"/>
  <c r="AD182" i="3"/>
  <c r="AB182" i="3"/>
  <c r="AE182" i="3" s="1"/>
  <c r="M182" i="3"/>
  <c r="AD181" i="3"/>
  <c r="AB181" i="3"/>
  <c r="M181" i="3" s="1"/>
  <c r="AD180" i="3"/>
  <c r="AB180" i="3"/>
  <c r="AH180" i="3" s="1"/>
  <c r="AD179" i="3"/>
  <c r="AB179" i="3"/>
  <c r="AC179" i="3" s="1"/>
  <c r="AD178" i="3"/>
  <c r="AB178" i="3"/>
  <c r="AC178" i="3" s="1"/>
  <c r="AD177" i="3"/>
  <c r="AB177" i="3"/>
  <c r="M177" i="3"/>
  <c r="AD176" i="3"/>
  <c r="AB176" i="3"/>
  <c r="M176" i="3" s="1"/>
  <c r="AD175" i="3"/>
  <c r="AB175" i="3"/>
  <c r="M175" i="3" s="1"/>
  <c r="AD174" i="3"/>
  <c r="AB174" i="3"/>
  <c r="AE174" i="3" s="1"/>
  <c r="AD173" i="3"/>
  <c r="AB173" i="3"/>
  <c r="M173" i="3"/>
  <c r="AD172" i="3"/>
  <c r="AB172" i="3"/>
  <c r="AH172" i="3" s="1"/>
  <c r="M172" i="3"/>
  <c r="AD171" i="3"/>
  <c r="AB171" i="3"/>
  <c r="AC171" i="3" s="1"/>
  <c r="AD170" i="3"/>
  <c r="AB170" i="3"/>
  <c r="AH170" i="3" s="1"/>
  <c r="AD169" i="3"/>
  <c r="AB169" i="3"/>
  <c r="AE169" i="3" s="1"/>
  <c r="AD168" i="3"/>
  <c r="AB168" i="3"/>
  <c r="M168" i="3" s="1"/>
  <c r="AD167" i="3"/>
  <c r="AB167" i="3"/>
  <c r="M167" i="3" s="1"/>
  <c r="AD166" i="3"/>
  <c r="AB166" i="3"/>
  <c r="AE166" i="3" s="1"/>
  <c r="M166" i="3"/>
  <c r="AD165" i="3"/>
  <c r="AB165" i="3"/>
  <c r="M165" i="3" s="1"/>
  <c r="AD164" i="3"/>
  <c r="AB164" i="3"/>
  <c r="M164" i="3" s="1"/>
  <c r="AD163" i="3"/>
  <c r="AB163" i="3"/>
  <c r="AH163" i="3" s="1"/>
  <c r="AD162" i="3"/>
  <c r="AB162" i="3"/>
  <c r="AC162" i="3" s="1"/>
  <c r="AD161" i="3"/>
  <c r="AB161" i="3"/>
  <c r="AH161" i="3" s="1"/>
  <c r="AD160" i="3"/>
  <c r="AB160" i="3"/>
  <c r="M160" i="3" s="1"/>
  <c r="AD159" i="3"/>
  <c r="AB159" i="3"/>
  <c r="M159" i="3" s="1"/>
  <c r="AD158" i="3"/>
  <c r="AB158" i="3"/>
  <c r="AE158" i="3" s="1"/>
  <c r="AD157" i="3"/>
  <c r="AB157" i="3"/>
  <c r="AC157" i="3" s="1"/>
  <c r="AD156" i="3"/>
  <c r="AB156" i="3"/>
  <c r="AH156" i="3" s="1"/>
  <c r="M156" i="3"/>
  <c r="AD155" i="3"/>
  <c r="AB155" i="3"/>
  <c r="M155" i="3" s="1"/>
  <c r="AD154" i="3"/>
  <c r="AB154" i="3"/>
  <c r="AC154" i="3" s="1"/>
  <c r="AD153" i="3"/>
  <c r="AB153" i="3"/>
  <c r="AH153" i="3" s="1"/>
  <c r="AD152" i="3"/>
  <c r="AB152" i="3"/>
  <c r="AH152" i="3" s="1"/>
  <c r="M152" i="3"/>
  <c r="AD151" i="3"/>
  <c r="AB151" i="3"/>
  <c r="AC151" i="3" s="1"/>
  <c r="AD150" i="3"/>
  <c r="AB150" i="3"/>
  <c r="AH150" i="3" s="1"/>
  <c r="AD149" i="3"/>
  <c r="AB149" i="3"/>
  <c r="AH149" i="3" s="1"/>
  <c r="AD148" i="3"/>
  <c r="AB148" i="3"/>
  <c r="M148" i="3" s="1"/>
  <c r="AD147" i="3"/>
  <c r="AB147" i="3"/>
  <c r="AH147" i="3" s="1"/>
  <c r="M147" i="3"/>
  <c r="AD146" i="3"/>
  <c r="AB146" i="3"/>
  <c r="AE146" i="3" s="1"/>
  <c r="AD145" i="3"/>
  <c r="AB145" i="3"/>
  <c r="AH145" i="3" s="1"/>
  <c r="AD144" i="3"/>
  <c r="AB144" i="3"/>
  <c r="AH144" i="3" s="1"/>
  <c r="AD143" i="3"/>
  <c r="AB143" i="3"/>
  <c r="AE143" i="3" s="1"/>
  <c r="AD142" i="3"/>
  <c r="AB142" i="3"/>
  <c r="AC142" i="3" s="1"/>
  <c r="AD141" i="3"/>
  <c r="AB141" i="3"/>
  <c r="AH141" i="3" s="1"/>
  <c r="AD140" i="3"/>
  <c r="AB140" i="3"/>
  <c r="M140" i="3"/>
  <c r="AD139" i="3"/>
  <c r="AB139" i="3"/>
  <c r="AE139" i="3" s="1"/>
  <c r="AD138" i="3"/>
  <c r="AB138" i="3"/>
  <c r="AC138" i="3" s="1"/>
  <c r="AD137" i="3"/>
  <c r="AB137" i="3"/>
  <c r="M137" i="3" s="1"/>
  <c r="AD136" i="3"/>
  <c r="AB136" i="3"/>
  <c r="AC136" i="3" s="1"/>
  <c r="AH135" i="3"/>
  <c r="AD135" i="3"/>
  <c r="AB135" i="3"/>
  <c r="M135" i="3" s="1"/>
  <c r="AD134" i="3"/>
  <c r="AB134" i="3"/>
  <c r="M134" i="3" s="1"/>
  <c r="AD133" i="3"/>
  <c r="AB133" i="3"/>
  <c r="AE133" i="3" s="1"/>
  <c r="AD132" i="3"/>
  <c r="AB132" i="3"/>
  <c r="AE132" i="3" s="1"/>
  <c r="AD131" i="3"/>
  <c r="AB131" i="3"/>
  <c r="M131" i="3" s="1"/>
  <c r="AD130" i="3"/>
  <c r="AB130" i="3"/>
  <c r="AE130" i="3" s="1"/>
  <c r="AD129" i="3"/>
  <c r="AB129" i="3"/>
  <c r="AE129" i="3" s="1"/>
  <c r="M129" i="3"/>
  <c r="AD128" i="3"/>
  <c r="AB128" i="3"/>
  <c r="AE128" i="3" s="1"/>
  <c r="M128" i="3"/>
  <c r="AD127" i="3"/>
  <c r="AB127" i="3"/>
  <c r="M127" i="3" s="1"/>
  <c r="AD126" i="3"/>
  <c r="AB126" i="3"/>
  <c r="AE126" i="3" s="1"/>
  <c r="M126" i="3"/>
  <c r="AD125" i="3"/>
  <c r="AB125" i="3"/>
  <c r="M125" i="3" s="1"/>
  <c r="AD124" i="3"/>
  <c r="AB124" i="3"/>
  <c r="M124" i="3" s="1"/>
  <c r="AD123" i="3"/>
  <c r="AB123" i="3"/>
  <c r="AH123" i="3" s="1"/>
  <c r="M123" i="3"/>
  <c r="AD122" i="3"/>
  <c r="AB122" i="3"/>
  <c r="M122" i="3" s="1"/>
  <c r="AD121" i="3"/>
  <c r="AB121" i="3"/>
  <c r="M121" i="3" s="1"/>
  <c r="AD120" i="3"/>
  <c r="AB120" i="3"/>
  <c r="AH120" i="3" s="1"/>
  <c r="AD119" i="3"/>
  <c r="AB119" i="3"/>
  <c r="M119" i="3" s="1"/>
  <c r="AD118" i="3"/>
  <c r="AB118" i="3"/>
  <c r="AC118" i="3" s="1"/>
  <c r="AD117" i="3"/>
  <c r="AB117" i="3"/>
  <c r="AH117" i="3" s="1"/>
  <c r="M117" i="3"/>
  <c r="AD116" i="3"/>
  <c r="AB116" i="3"/>
  <c r="M116" i="3" s="1"/>
  <c r="AD115" i="3"/>
  <c r="AB115" i="3"/>
  <c r="M115" i="3"/>
  <c r="AD114" i="3"/>
  <c r="AB114" i="3"/>
  <c r="AC114" i="3" s="1"/>
  <c r="AD113" i="3"/>
  <c r="AB113" i="3"/>
  <c r="M113" i="3" s="1"/>
  <c r="AD112" i="3"/>
  <c r="AB112" i="3"/>
  <c r="AE112" i="3" s="1"/>
  <c r="AD111" i="3"/>
  <c r="AB111" i="3"/>
  <c r="AH111" i="3" s="1"/>
  <c r="AD110" i="3"/>
  <c r="AB110" i="3"/>
  <c r="M110" i="3" s="1"/>
  <c r="AD109" i="3"/>
  <c r="AB109" i="3"/>
  <c r="AE109" i="3" s="1"/>
  <c r="AD108" i="3"/>
  <c r="AB108" i="3"/>
  <c r="M108" i="3" s="1"/>
  <c r="AD107" i="3"/>
  <c r="AB107" i="3"/>
  <c r="M107" i="3" s="1"/>
  <c r="AD106" i="3"/>
  <c r="AB106" i="3"/>
  <c r="AH106" i="3" s="1"/>
  <c r="AD105" i="3"/>
  <c r="AB105" i="3"/>
  <c r="M105" i="3" s="1"/>
  <c r="AD104" i="3"/>
  <c r="AB104" i="3"/>
  <c r="AC104" i="3" s="1"/>
  <c r="AD103" i="3"/>
  <c r="AB103" i="3"/>
  <c r="AH103" i="3" s="1"/>
  <c r="AD102" i="3"/>
  <c r="AB102" i="3"/>
  <c r="M102" i="3" s="1"/>
  <c r="AD101" i="3"/>
  <c r="AB101" i="3"/>
  <c r="AC101" i="3" s="1"/>
  <c r="AD100" i="3"/>
  <c r="AB100" i="3"/>
  <c r="AE100" i="3" s="1"/>
  <c r="AD99" i="3"/>
  <c r="AB99" i="3"/>
  <c r="M99" i="3" s="1"/>
  <c r="AD98" i="3"/>
  <c r="AB98" i="3"/>
  <c r="AC98" i="3" s="1"/>
  <c r="AD97" i="3"/>
  <c r="AB97" i="3"/>
  <c r="AD96" i="3"/>
  <c r="AB96" i="3"/>
  <c r="AC96" i="3" s="1"/>
  <c r="AD95" i="3"/>
  <c r="AB95" i="3"/>
  <c r="AC95" i="3" s="1"/>
  <c r="AD94" i="3"/>
  <c r="AB94" i="3"/>
  <c r="AE94" i="3" s="1"/>
  <c r="AD93" i="3"/>
  <c r="AB93" i="3"/>
  <c r="AC93" i="3" s="1"/>
  <c r="AD92" i="3"/>
  <c r="AB92" i="3"/>
  <c r="AH92" i="3" s="1"/>
  <c r="AD91" i="3"/>
  <c r="AB91" i="3"/>
  <c r="M91" i="3"/>
  <c r="AD90" i="3"/>
  <c r="AB90" i="3"/>
  <c r="AC90" i="3" s="1"/>
  <c r="M90" i="3"/>
  <c r="AD89" i="3"/>
  <c r="AB89" i="3"/>
  <c r="AH89" i="3" s="1"/>
  <c r="AD88" i="3"/>
  <c r="AB88" i="3"/>
  <c r="AH88" i="3" s="1"/>
  <c r="M88" i="3"/>
  <c r="AD87" i="3"/>
  <c r="AB87" i="3"/>
  <c r="AE87" i="3" s="1"/>
  <c r="AD86" i="3"/>
  <c r="AB86" i="3"/>
  <c r="M86" i="3" s="1"/>
  <c r="AD85" i="3"/>
  <c r="AB85" i="3"/>
  <c r="AH85" i="3" s="1"/>
  <c r="M85" i="3"/>
  <c r="AD84" i="3"/>
  <c r="AB84" i="3"/>
  <c r="AC84" i="3" s="1"/>
  <c r="AD83" i="3"/>
  <c r="AB83" i="3"/>
  <c r="AH83" i="3" s="1"/>
  <c r="M83" i="3"/>
  <c r="AD82" i="3"/>
  <c r="AB82" i="3"/>
  <c r="AE82" i="3" s="1"/>
  <c r="AD81" i="3"/>
  <c r="AB81" i="3"/>
  <c r="M81" i="3" s="1"/>
  <c r="AD80" i="3"/>
  <c r="AB80" i="3"/>
  <c r="AH80" i="3" s="1"/>
  <c r="AD79" i="3"/>
  <c r="AB79" i="3"/>
  <c r="M79" i="3"/>
  <c r="AD78" i="3"/>
  <c r="AB78" i="3"/>
  <c r="AH78" i="3" s="1"/>
  <c r="AD77" i="3"/>
  <c r="AB77" i="3"/>
  <c r="M77" i="3" s="1"/>
  <c r="AD76" i="3"/>
  <c r="AB76" i="3"/>
  <c r="AE76" i="3" s="1"/>
  <c r="AD75" i="3"/>
  <c r="AB75" i="3"/>
  <c r="AC75" i="3" s="1"/>
  <c r="AD74" i="3"/>
  <c r="AB74" i="3"/>
  <c r="AH74" i="3" s="1"/>
  <c r="M74" i="3"/>
  <c r="AD73" i="3"/>
  <c r="AB73" i="3"/>
  <c r="AC73" i="3" s="1"/>
  <c r="AD72" i="3"/>
  <c r="AB72" i="3"/>
  <c r="AC72" i="3" s="1"/>
  <c r="AD71" i="3"/>
  <c r="AB71" i="3"/>
  <c r="AE71" i="3" s="1"/>
  <c r="AD70" i="3"/>
  <c r="AB70" i="3"/>
  <c r="AH70" i="3" s="1"/>
  <c r="AD69" i="3"/>
  <c r="AB69" i="3"/>
  <c r="AC69" i="3" s="1"/>
  <c r="M69" i="3"/>
  <c r="AD68" i="3"/>
  <c r="AB68" i="3"/>
  <c r="AE68" i="3" s="1"/>
  <c r="AD67" i="3"/>
  <c r="AB67" i="3"/>
  <c r="AE67" i="3" s="1"/>
  <c r="AD66" i="3"/>
  <c r="AB66" i="3"/>
  <c r="AH66" i="3" s="1"/>
  <c r="AD65" i="3"/>
  <c r="AB65" i="3"/>
  <c r="AC65" i="3" s="1"/>
  <c r="AD64" i="3"/>
  <c r="AB64" i="3"/>
  <c r="AH64" i="3" s="1"/>
  <c r="AD63" i="3"/>
  <c r="AB63" i="3"/>
  <c r="M63" i="3"/>
  <c r="AD62" i="3"/>
  <c r="AB62" i="3"/>
  <c r="M62" i="3" s="1"/>
  <c r="AD61" i="3"/>
  <c r="AB61" i="3"/>
  <c r="AC61" i="3" s="1"/>
  <c r="AD60" i="3"/>
  <c r="AB60" i="3"/>
  <c r="AE60" i="3" s="1"/>
  <c r="AD59" i="3"/>
  <c r="AB59" i="3"/>
  <c r="AH59" i="3" s="1"/>
  <c r="AD58" i="3"/>
  <c r="AB58" i="3"/>
  <c r="AH58" i="3" s="1"/>
  <c r="AD57" i="3"/>
  <c r="AB57" i="3"/>
  <c r="AC57" i="3" s="1"/>
  <c r="AD56" i="3"/>
  <c r="AB56" i="3"/>
  <c r="AC56" i="3" s="1"/>
  <c r="AD55" i="3"/>
  <c r="AB55" i="3"/>
  <c r="AE55" i="3" s="1"/>
  <c r="AD54" i="3"/>
  <c r="AB54" i="3"/>
  <c r="AH54" i="3" s="1"/>
  <c r="AD53" i="3"/>
  <c r="AB53" i="3"/>
  <c r="AE53" i="3" s="1"/>
  <c r="M53" i="3"/>
  <c r="AD52" i="3"/>
  <c r="AB52" i="3"/>
  <c r="AD51" i="3"/>
  <c r="AB51" i="3"/>
  <c r="AD50" i="3"/>
  <c r="AB50" i="3"/>
  <c r="AH50" i="3" s="1"/>
  <c r="AD49" i="3"/>
  <c r="AB49" i="3"/>
  <c r="AC49" i="3" s="1"/>
  <c r="AD48" i="3"/>
  <c r="AB48" i="3"/>
  <c r="AC48" i="3" s="1"/>
  <c r="AD47" i="3"/>
  <c r="AB47" i="3"/>
  <c r="AE47" i="3" s="1"/>
  <c r="AD46" i="3"/>
  <c r="AB46" i="3"/>
  <c r="AH46" i="3" s="1"/>
  <c r="AD45" i="3"/>
  <c r="AB45" i="3"/>
  <c r="AC45" i="3" s="1"/>
  <c r="AD44" i="3"/>
  <c r="AB44" i="3"/>
  <c r="AD43" i="3"/>
  <c r="AB43" i="3"/>
  <c r="M43" i="3" s="1"/>
  <c r="AD42" i="3"/>
  <c r="AB42" i="3"/>
  <c r="AH42" i="3" s="1"/>
  <c r="M42" i="3"/>
  <c r="AD41" i="3"/>
  <c r="AB41" i="3"/>
  <c r="AC41" i="3" s="1"/>
  <c r="AD40" i="3"/>
  <c r="AB40" i="3"/>
  <c r="AC40" i="3" s="1"/>
  <c r="AD39" i="3"/>
  <c r="AB39" i="3"/>
  <c r="AE39" i="3" s="1"/>
  <c r="AD38" i="3"/>
  <c r="AB38" i="3"/>
  <c r="AH38" i="3" s="1"/>
  <c r="M38" i="3"/>
  <c r="AD37" i="3"/>
  <c r="AB37" i="3"/>
  <c r="AC37" i="3" s="1"/>
  <c r="M37" i="3"/>
  <c r="AD36" i="3"/>
  <c r="AB36" i="3"/>
  <c r="M36" i="3" s="1"/>
  <c r="AD35" i="3"/>
  <c r="AB35" i="3"/>
  <c r="M35" i="3" s="1"/>
  <c r="AD34" i="3"/>
  <c r="AB34" i="3"/>
  <c r="AH34" i="3" s="1"/>
  <c r="AD33" i="3"/>
  <c r="AB33" i="3"/>
  <c r="AC33" i="3" s="1"/>
  <c r="AD32" i="3"/>
  <c r="AB32" i="3"/>
  <c r="AH32" i="3" s="1"/>
  <c r="AD31" i="3"/>
  <c r="AB31" i="3"/>
  <c r="AH31" i="3" s="1"/>
  <c r="AD30" i="3"/>
  <c r="AB30" i="3"/>
  <c r="M30" i="3" s="1"/>
  <c r="AD29" i="3"/>
  <c r="AB29" i="3"/>
  <c r="AE29" i="3" s="1"/>
  <c r="AD28" i="3"/>
  <c r="AB28" i="3"/>
  <c r="M28" i="3" s="1"/>
  <c r="AD27" i="3"/>
  <c r="AB27" i="3"/>
  <c r="AH27" i="3" s="1"/>
  <c r="M27" i="3"/>
  <c r="AD26" i="3"/>
  <c r="AB26" i="3"/>
  <c r="M26" i="3" s="1"/>
  <c r="AD25" i="3"/>
  <c r="AB25" i="3"/>
  <c r="AC25" i="3" s="1"/>
  <c r="AD24" i="3"/>
  <c r="AB24" i="3"/>
  <c r="AH24" i="3" s="1"/>
  <c r="AD23" i="3"/>
  <c r="AB23" i="3"/>
  <c r="AH23" i="3" s="1"/>
  <c r="AD22" i="3"/>
  <c r="AB22" i="3"/>
  <c r="M22" i="3"/>
  <c r="AD21" i="3"/>
  <c r="AB21" i="3"/>
  <c r="M21" i="3" s="1"/>
  <c r="AD20" i="3"/>
  <c r="AB20" i="3"/>
  <c r="M20" i="3" s="1"/>
  <c r="AD19" i="3"/>
  <c r="AB19" i="3"/>
  <c r="AH19" i="3" s="1"/>
  <c r="M19" i="3"/>
  <c r="AD18" i="3"/>
  <c r="AB18" i="3"/>
  <c r="AH18" i="3" s="1"/>
  <c r="AD17" i="3"/>
  <c r="AB17" i="3"/>
  <c r="AC17" i="3" s="1"/>
  <c r="AD16" i="3"/>
  <c r="AB16" i="3"/>
  <c r="AH16" i="3" s="1"/>
  <c r="AD15" i="3"/>
  <c r="AB15" i="3"/>
  <c r="M15" i="3" s="1"/>
  <c r="AD14" i="3"/>
  <c r="AB14" i="3"/>
  <c r="M14" i="3" s="1"/>
  <c r="AD13" i="3"/>
  <c r="AB13" i="3"/>
  <c r="M13" i="3" s="1"/>
  <c r="AD12" i="3"/>
  <c r="AB12" i="3"/>
  <c r="M12" i="3" s="1"/>
  <c r="AD11" i="3"/>
  <c r="AB11" i="3"/>
  <c r="AH11" i="3" s="1"/>
  <c r="M11" i="3"/>
  <c r="AD10" i="3"/>
  <c r="AB10" i="3"/>
  <c r="AH10" i="3" s="1"/>
  <c r="AD9" i="3"/>
  <c r="AB9" i="3"/>
  <c r="AD8" i="3"/>
  <c r="AB8" i="3"/>
  <c r="AC8" i="3" s="1"/>
  <c r="AD7" i="3"/>
  <c r="AB7" i="3"/>
  <c r="AC7" i="3" s="1"/>
  <c r="AD6" i="3"/>
  <c r="AB6" i="3"/>
  <c r="M6" i="3" s="1"/>
  <c r="AD5" i="3"/>
  <c r="AB5" i="3"/>
  <c r="AD4" i="3"/>
  <c r="AB4" i="3"/>
  <c r="M4" i="3" s="1"/>
  <c r="AD3" i="3"/>
  <c r="AB3" i="3"/>
  <c r="AH3" i="3" s="1"/>
  <c r="AD2" i="3"/>
  <c r="AB2" i="3"/>
  <c r="AH2" i="3" s="1"/>
  <c r="AE46" i="3" l="1"/>
  <c r="AE227" i="3"/>
  <c r="AE217" i="3"/>
  <c r="AE269" i="3"/>
  <c r="AE216" i="3"/>
  <c r="AE165" i="3"/>
  <c r="AE48" i="3"/>
  <c r="AE113" i="3"/>
  <c r="AE264" i="3"/>
  <c r="AF264" i="3" s="1"/>
  <c r="AG264" i="3" s="1"/>
  <c r="AE104" i="3"/>
  <c r="AI104" i="3" s="1"/>
  <c r="M29" i="3"/>
  <c r="M50" i="3"/>
  <c r="M61" i="3"/>
  <c r="M92" i="3"/>
  <c r="AE262" i="3"/>
  <c r="AF262" i="3" s="1"/>
  <c r="AG262" i="3" s="1"/>
  <c r="AE157" i="3"/>
  <c r="AE42" i="3"/>
  <c r="AE258" i="3"/>
  <c r="AE155" i="3"/>
  <c r="AF155" i="3" s="1"/>
  <c r="AG155" i="3" s="1"/>
  <c r="AE144" i="3"/>
  <c r="AF144" i="3" s="1"/>
  <c r="AG144" i="3" s="1"/>
  <c r="AE250" i="3"/>
  <c r="AI250" i="3" s="1"/>
  <c r="AE84" i="3"/>
  <c r="AF84" i="3" s="1"/>
  <c r="AG84" i="3" s="1"/>
  <c r="AE188" i="3"/>
  <c r="AE73" i="3"/>
  <c r="AE187" i="3"/>
  <c r="AE19" i="3"/>
  <c r="AE14" i="3"/>
  <c r="M130" i="3"/>
  <c r="AE286" i="3"/>
  <c r="AE236" i="3"/>
  <c r="AE70" i="3"/>
  <c r="AF70" i="3" s="1"/>
  <c r="AG70" i="3" s="1"/>
  <c r="AE13" i="3"/>
  <c r="AF13" i="3" s="1"/>
  <c r="AG13" i="3" s="1"/>
  <c r="AE90" i="3"/>
  <c r="AE249" i="3"/>
  <c r="AF249" i="3" s="1"/>
  <c r="AG249" i="3" s="1"/>
  <c r="AE142" i="3"/>
  <c r="AI142" i="3" s="1"/>
  <c r="AE248" i="3"/>
  <c r="AE20" i="3"/>
  <c r="AE135" i="3"/>
  <c r="M45" i="3"/>
  <c r="M268" i="3"/>
  <c r="M301" i="3"/>
  <c r="AE285" i="3"/>
  <c r="AI285" i="3" s="1"/>
  <c r="AE235" i="3"/>
  <c r="AI235" i="3" s="1"/>
  <c r="AE184" i="3"/>
  <c r="AF184" i="3" s="1"/>
  <c r="AG184" i="3" s="1"/>
  <c r="AE69" i="3"/>
  <c r="AI69" i="3" s="1"/>
  <c r="AE12" i="3"/>
  <c r="AI12" i="3" s="1"/>
  <c r="AE92" i="3"/>
  <c r="AC42" i="3"/>
  <c r="AE192" i="3"/>
  <c r="AE83" i="3"/>
  <c r="AF83" i="3" s="1"/>
  <c r="AG83" i="3" s="1"/>
  <c r="AE296" i="3"/>
  <c r="AE21" i="3"/>
  <c r="AE72" i="3"/>
  <c r="AE237" i="3"/>
  <c r="AE134" i="3"/>
  <c r="AI134" i="3" s="1"/>
  <c r="M196" i="3"/>
  <c r="AE234" i="3"/>
  <c r="AE179" i="3"/>
  <c r="AI179" i="3" s="1"/>
  <c r="AE125" i="3"/>
  <c r="AI125" i="3" s="1"/>
  <c r="AE11" i="3"/>
  <c r="AE240" i="3"/>
  <c r="AH252" i="3"/>
  <c r="AE283" i="3"/>
  <c r="AE281" i="3"/>
  <c r="AE161" i="3"/>
  <c r="AF161" i="3" s="1"/>
  <c r="AG161" i="3" s="1"/>
  <c r="AE137" i="3"/>
  <c r="AF137" i="3" s="1"/>
  <c r="AG137" i="3" s="1"/>
  <c r="AE89" i="3"/>
  <c r="AF89" i="3" s="1"/>
  <c r="AG89" i="3" s="1"/>
  <c r="AE65" i="3"/>
  <c r="AE17" i="3"/>
  <c r="AI17" i="3" s="1"/>
  <c r="AH7" i="3"/>
  <c r="AE232" i="3"/>
  <c r="AF232" i="3" s="1"/>
  <c r="AG232" i="3" s="1"/>
  <c r="AE160" i="3"/>
  <c r="AI160" i="3" s="1"/>
  <c r="AE136" i="3"/>
  <c r="AE88" i="3"/>
  <c r="AE40" i="3"/>
  <c r="AF40" i="3" s="1"/>
  <c r="AG40" i="3" s="1"/>
  <c r="AE16" i="3"/>
  <c r="AF16" i="3" s="1"/>
  <c r="AG16" i="3" s="1"/>
  <c r="M59" i="3"/>
  <c r="AF173" i="3"/>
  <c r="AG173" i="3" s="1"/>
  <c r="M254" i="3"/>
  <c r="AE255" i="3"/>
  <c r="AI255" i="3" s="1"/>
  <c r="AE231" i="3"/>
  <c r="AI231" i="3" s="1"/>
  <c r="AE207" i="3"/>
  <c r="AI207" i="3" s="1"/>
  <c r="AE183" i="3"/>
  <c r="AE159" i="3"/>
  <c r="AE111" i="3"/>
  <c r="AE15" i="3"/>
  <c r="AE261" i="3"/>
  <c r="AE127" i="3"/>
  <c r="AI127" i="3" s="1"/>
  <c r="AE79" i="3"/>
  <c r="AI79" i="3" s="1"/>
  <c r="AE31" i="3"/>
  <c r="AF31" i="3" s="1"/>
  <c r="AG31" i="3" s="1"/>
  <c r="AE7" i="3"/>
  <c r="AI7" i="3" s="1"/>
  <c r="AE86" i="3"/>
  <c r="AE276" i="3"/>
  <c r="AF276" i="3" s="1"/>
  <c r="AG276" i="3" s="1"/>
  <c r="AE36" i="3"/>
  <c r="AH81" i="3"/>
  <c r="AE202" i="3"/>
  <c r="AF202" i="3" s="1"/>
  <c r="AG202" i="3" s="1"/>
  <c r="AE153" i="3"/>
  <c r="AE105" i="3"/>
  <c r="AE81" i="3"/>
  <c r="AI81" i="3" s="1"/>
  <c r="AH90" i="3"/>
  <c r="AE224" i="3"/>
  <c r="AI224" i="3" s="1"/>
  <c r="AE152" i="3"/>
  <c r="AI152" i="3" s="1"/>
  <c r="AE80" i="3"/>
  <c r="AI80" i="3" s="1"/>
  <c r="AE56" i="3"/>
  <c r="AF56" i="3" s="1"/>
  <c r="AG56" i="3" s="1"/>
  <c r="AE247" i="3"/>
  <c r="AI247" i="3" s="1"/>
  <c r="AE223" i="3"/>
  <c r="AE175" i="3"/>
  <c r="AE151" i="3"/>
  <c r="AF151" i="3" s="1"/>
  <c r="AG151" i="3" s="1"/>
  <c r="AE103" i="3"/>
  <c r="M23" i="3"/>
  <c r="AI177" i="3"/>
  <c r="AE294" i="3"/>
  <c r="AI294" i="3" s="1"/>
  <c r="AE270" i="3"/>
  <c r="AI270" i="3" s="1"/>
  <c r="AE246" i="3"/>
  <c r="AI246" i="3" s="1"/>
  <c r="AE198" i="3"/>
  <c r="AF198" i="3" s="1"/>
  <c r="AG198" i="3" s="1"/>
  <c r="AE150" i="3"/>
  <c r="AF150" i="3" s="1"/>
  <c r="AG150" i="3" s="1"/>
  <c r="AE102" i="3"/>
  <c r="AF102" i="3" s="1"/>
  <c r="AG102" i="3" s="1"/>
  <c r="AE78" i="3"/>
  <c r="AI78" i="3" s="1"/>
  <c r="AE54" i="3"/>
  <c r="AE30" i="3"/>
  <c r="AE6" i="3"/>
  <c r="AI6" i="3" s="1"/>
  <c r="AI271" i="3"/>
  <c r="AE117" i="3"/>
  <c r="AI117" i="3" s="1"/>
  <c r="AE101" i="3"/>
  <c r="AI101" i="3" s="1"/>
  <c r="AE77" i="3"/>
  <c r="AI77" i="3" s="1"/>
  <c r="AE5" i="3"/>
  <c r="AF5" i="3" s="1"/>
  <c r="AG5" i="3" s="1"/>
  <c r="AE25" i="3"/>
  <c r="AE45" i="3"/>
  <c r="AI45" i="3" s="1"/>
  <c r="AE210" i="3"/>
  <c r="AE138" i="3"/>
  <c r="AF138" i="3" s="1"/>
  <c r="AG138" i="3" s="1"/>
  <c r="AE18" i="3"/>
  <c r="AE181" i="3"/>
  <c r="AI181" i="3" s="1"/>
  <c r="AE85" i="3"/>
  <c r="AI85" i="3" s="1"/>
  <c r="AF112" i="3"/>
  <c r="AG112" i="3" s="1"/>
  <c r="AE203" i="3"/>
  <c r="AE35" i="3"/>
  <c r="AF35" i="3" s="1"/>
  <c r="AG35" i="3" s="1"/>
  <c r="AE298" i="3"/>
  <c r="AI298" i="3" s="1"/>
  <c r="AE226" i="3"/>
  <c r="AI226" i="3" s="1"/>
  <c r="AE106" i="3"/>
  <c r="AI106" i="3" s="1"/>
  <c r="AE58" i="3"/>
  <c r="AI58" i="3" s="1"/>
  <c r="AE57" i="3"/>
  <c r="AF57" i="3" s="1"/>
  <c r="AG57" i="3" s="1"/>
  <c r="AE8" i="3"/>
  <c r="AF8" i="3" s="1"/>
  <c r="AG8" i="3" s="1"/>
  <c r="AI52" i="3"/>
  <c r="AF33" i="3"/>
  <c r="AG33" i="3" s="1"/>
  <c r="AE173" i="3"/>
  <c r="AI173" i="3" s="1"/>
  <c r="AH33" i="3"/>
  <c r="M290" i="3"/>
  <c r="AE292" i="3"/>
  <c r="AF292" i="3" s="1"/>
  <c r="AG292" i="3" s="1"/>
  <c r="AE268" i="3"/>
  <c r="AF268" i="3" s="1"/>
  <c r="AG268" i="3" s="1"/>
  <c r="AE244" i="3"/>
  <c r="AI244" i="3" s="1"/>
  <c r="AE220" i="3"/>
  <c r="AF220" i="3" s="1"/>
  <c r="AG220" i="3" s="1"/>
  <c r="AE172" i="3"/>
  <c r="AF172" i="3" s="1"/>
  <c r="AG172" i="3" s="1"/>
  <c r="AE148" i="3"/>
  <c r="AF148" i="3" s="1"/>
  <c r="AG148" i="3" s="1"/>
  <c r="AE124" i="3"/>
  <c r="AE52" i="3"/>
  <c r="AF52" i="3" s="1"/>
  <c r="AG52" i="3" s="1"/>
  <c r="AE28" i="3"/>
  <c r="AE4" i="3"/>
  <c r="AE93" i="3"/>
  <c r="AF93" i="3" s="1"/>
  <c r="AG93" i="3" s="1"/>
  <c r="AE44" i="3"/>
  <c r="AF44" i="3" s="1"/>
  <c r="AG44" i="3" s="1"/>
  <c r="AE282" i="3"/>
  <c r="AE253" i="3"/>
  <c r="AI253" i="3" s="1"/>
  <c r="AI89" i="3"/>
  <c r="AI215" i="3"/>
  <c r="AE107" i="3"/>
  <c r="AI107" i="3" s="1"/>
  <c r="AE274" i="3"/>
  <c r="AI274" i="3" s="1"/>
  <c r="AE10" i="3"/>
  <c r="AE225" i="3"/>
  <c r="AF225" i="3" s="1"/>
  <c r="AG225" i="3" s="1"/>
  <c r="AE9" i="3"/>
  <c r="AI9" i="3" s="1"/>
  <c r="AE176" i="3"/>
  <c r="AF176" i="3" s="1"/>
  <c r="AG176" i="3" s="1"/>
  <c r="AE32" i="3"/>
  <c r="AI32" i="3" s="1"/>
  <c r="AE293" i="3"/>
  <c r="AF293" i="3" s="1"/>
  <c r="AG293" i="3" s="1"/>
  <c r="AE149" i="3"/>
  <c r="AI149" i="3" s="1"/>
  <c r="M3" i="3"/>
  <c r="M34" i="3"/>
  <c r="M84" i="3"/>
  <c r="AE291" i="3"/>
  <c r="AE267" i="3"/>
  <c r="AI267" i="3" s="1"/>
  <c r="AE243" i="3"/>
  <c r="AF243" i="3" s="1"/>
  <c r="AG243" i="3" s="1"/>
  <c r="AE219" i="3"/>
  <c r="AE195" i="3"/>
  <c r="AE171" i="3"/>
  <c r="AE147" i="3"/>
  <c r="AE123" i="3"/>
  <c r="AE99" i="3"/>
  <c r="AF99" i="3" s="1"/>
  <c r="AG99" i="3" s="1"/>
  <c r="AE75" i="3"/>
  <c r="AI75" i="3" s="1"/>
  <c r="AE51" i="3"/>
  <c r="AI51" i="3" s="1"/>
  <c r="AE27" i="3"/>
  <c r="AF27" i="3" s="1"/>
  <c r="AG27" i="3" s="1"/>
  <c r="AE3" i="3"/>
  <c r="AF3" i="3" s="1"/>
  <c r="AG3" i="3" s="1"/>
  <c r="AE191" i="3"/>
  <c r="AE260" i="3"/>
  <c r="AF260" i="3" s="1"/>
  <c r="AG260" i="3" s="1"/>
  <c r="AE116" i="3"/>
  <c r="AF116" i="3" s="1"/>
  <c r="AG116" i="3" s="1"/>
  <c r="AE66" i="3"/>
  <c r="AI66" i="3" s="1"/>
  <c r="AE37" i="3"/>
  <c r="AI37" i="3" s="1"/>
  <c r="AE180" i="3"/>
  <c r="AI180" i="3" s="1"/>
  <c r="AE108" i="3"/>
  <c r="AE131" i="3"/>
  <c r="AI131" i="3" s="1"/>
  <c r="AE59" i="3"/>
  <c r="AF59" i="3" s="1"/>
  <c r="AG59" i="3" s="1"/>
  <c r="AE154" i="3"/>
  <c r="AI154" i="3" s="1"/>
  <c r="AH41" i="3"/>
  <c r="M54" i="3"/>
  <c r="M75" i="3"/>
  <c r="AE242" i="3"/>
  <c r="AF242" i="3" s="1"/>
  <c r="AG242" i="3" s="1"/>
  <c r="AE218" i="3"/>
  <c r="AF218" i="3" s="1"/>
  <c r="AG218" i="3" s="1"/>
  <c r="AE194" i="3"/>
  <c r="AE170" i="3"/>
  <c r="AE122" i="3"/>
  <c r="AI122" i="3" s="1"/>
  <c r="AE98" i="3"/>
  <c r="AE74" i="3"/>
  <c r="AE50" i="3"/>
  <c r="AE26" i="3"/>
  <c r="AF26" i="3" s="1"/>
  <c r="AG26" i="3" s="1"/>
  <c r="AE2" i="3"/>
  <c r="AI2" i="3" s="1"/>
  <c r="AE6" i="4"/>
  <c r="AE5" i="4"/>
  <c r="AF5" i="4" s="1"/>
  <c r="AG5" i="4" s="1"/>
  <c r="AI87" i="3"/>
  <c r="AI109" i="3"/>
  <c r="AI60" i="3"/>
  <c r="AF204" i="3"/>
  <c r="AG204" i="3" s="1"/>
  <c r="AF284" i="3"/>
  <c r="AG284" i="3" s="1"/>
  <c r="AF189" i="3"/>
  <c r="AG189" i="3" s="1"/>
  <c r="AI121" i="3"/>
  <c r="AI287" i="3"/>
  <c r="AI239" i="3"/>
  <c r="AF67" i="3"/>
  <c r="AG67" i="3" s="1"/>
  <c r="AC173" i="3"/>
  <c r="AC272" i="3"/>
  <c r="AH173" i="3"/>
  <c r="AH79" i="3"/>
  <c r="AC86" i="3"/>
  <c r="AH101" i="3"/>
  <c r="AI237" i="3"/>
  <c r="AF300" i="3"/>
  <c r="AG300" i="3" s="1"/>
  <c r="AC149" i="3"/>
  <c r="AC211" i="3"/>
  <c r="AH300" i="3"/>
  <c r="AI20" i="3"/>
  <c r="AC80" i="3"/>
  <c r="AH20" i="3"/>
  <c r="AH86" i="3"/>
  <c r="AH121" i="3"/>
  <c r="AH211" i="3"/>
  <c r="AI229" i="3"/>
  <c r="M46" i="3"/>
  <c r="M87" i="3"/>
  <c r="M94" i="3"/>
  <c r="M150" i="3"/>
  <c r="M158" i="3"/>
  <c r="AH175" i="3"/>
  <c r="M212" i="3"/>
  <c r="AH229" i="3"/>
  <c r="AH218" i="3"/>
  <c r="AC64" i="3"/>
  <c r="AC158" i="3"/>
  <c r="AH39" i="3"/>
  <c r="AH284" i="3"/>
  <c r="AC88" i="3"/>
  <c r="AH142" i="3"/>
  <c r="AF205" i="3"/>
  <c r="AG205" i="3" s="1"/>
  <c r="AI74" i="3"/>
  <c r="AI65" i="3"/>
  <c r="AC277" i="3"/>
  <c r="AC18" i="3"/>
  <c r="AC155" i="3"/>
  <c r="AH272" i="3"/>
  <c r="AH192" i="3"/>
  <c r="AH267" i="3"/>
  <c r="AH56" i="3"/>
  <c r="AH95" i="3"/>
  <c r="AH159" i="3"/>
  <c r="AH205" i="3"/>
  <c r="M5" i="3"/>
  <c r="AC23" i="3"/>
  <c r="M58" i="3"/>
  <c r="M66" i="3"/>
  <c r="M144" i="3"/>
  <c r="M153" i="3"/>
  <c r="M171" i="3"/>
  <c r="M179" i="3"/>
  <c r="AH285" i="3"/>
  <c r="AC94" i="3"/>
  <c r="AF39" i="3"/>
  <c r="AG39" i="3" s="1"/>
  <c r="AH108" i="3"/>
  <c r="AI50" i="3"/>
  <c r="M109" i="3"/>
  <c r="M118" i="3"/>
  <c r="AH179" i="3"/>
  <c r="AC110" i="3"/>
  <c r="AC85" i="3"/>
  <c r="AH138" i="3"/>
  <c r="M18" i="3"/>
  <c r="M51" i="3"/>
  <c r="AH67" i="3"/>
  <c r="AI90" i="3"/>
  <c r="AH98" i="3"/>
  <c r="M163" i="3"/>
  <c r="M180" i="3"/>
  <c r="AF208" i="3"/>
  <c r="AG208" i="3" s="1"/>
  <c r="M227" i="3"/>
  <c r="AC253" i="3"/>
  <c r="M298" i="3"/>
  <c r="AI205" i="3"/>
  <c r="AF4" i="4"/>
  <c r="AG4" i="4" s="1"/>
  <c r="AF154" i="3"/>
  <c r="AG154" i="3" s="1"/>
  <c r="AF160" i="3"/>
  <c r="AG160" i="3" s="1"/>
  <c r="AH212" i="3"/>
  <c r="AF261" i="3"/>
  <c r="AG261" i="3" s="1"/>
  <c r="AC91" i="3"/>
  <c r="AH96" i="3"/>
  <c r="AC115" i="3"/>
  <c r="AH160" i="3"/>
  <c r="AH261" i="3"/>
  <c r="AH293" i="3"/>
  <c r="AC301" i="3"/>
  <c r="AC63" i="3"/>
  <c r="AH40" i="3"/>
  <c r="AH51" i="3"/>
  <c r="AI63" i="3"/>
  <c r="AF34" i="3"/>
  <c r="AG34" i="3" s="1"/>
  <c r="AC58" i="3"/>
  <c r="AH75" i="3"/>
  <c r="AC87" i="3"/>
  <c r="M97" i="3"/>
  <c r="AI103" i="3"/>
  <c r="AH109" i="3"/>
  <c r="M161" i="3"/>
  <c r="AF188" i="3"/>
  <c r="AG188" i="3" s="1"/>
  <c r="AH194" i="3"/>
  <c r="AH207" i="3"/>
  <c r="AC237" i="3"/>
  <c r="AH250" i="3"/>
  <c r="M47" i="3"/>
  <c r="M71" i="3"/>
  <c r="AF91" i="3"/>
  <c r="AG91" i="3" s="1"/>
  <c r="AF115" i="3"/>
  <c r="AG115" i="3" s="1"/>
  <c r="M151" i="3"/>
  <c r="M195" i="3"/>
  <c r="AH220" i="3"/>
  <c r="M269" i="3"/>
  <c r="AF301" i="3"/>
  <c r="AG301" i="3" s="1"/>
  <c r="AH57" i="3"/>
  <c r="AF20" i="3"/>
  <c r="AG20" i="3" s="1"/>
  <c r="AC195" i="3"/>
  <c r="AF236" i="3"/>
  <c r="AG236" i="3" s="1"/>
  <c r="AH9" i="3"/>
  <c r="AF47" i="3"/>
  <c r="AG47" i="3" s="1"/>
  <c r="AH71" i="3"/>
  <c r="AH110" i="3"/>
  <c r="AC221" i="3"/>
  <c r="AI252" i="3"/>
  <c r="AH114" i="3"/>
  <c r="AH87" i="3"/>
  <c r="AH97" i="3"/>
  <c r="AF11" i="3"/>
  <c r="AG11" i="3" s="1"/>
  <c r="AH35" i="3"/>
  <c r="AH47" i="3"/>
  <c r="AI71" i="3"/>
  <c r="AH104" i="3"/>
  <c r="M111" i="3"/>
  <c r="AI151" i="3"/>
  <c r="AH162" i="3"/>
  <c r="AC189" i="3"/>
  <c r="AH208" i="3"/>
  <c r="M215" i="3"/>
  <c r="AC245" i="3"/>
  <c r="AI269" i="3"/>
  <c r="AH224" i="3"/>
  <c r="AF96" i="3"/>
  <c r="AG96" i="3" s="1"/>
  <c r="AF28" i="3"/>
  <c r="AG28" i="3" s="1"/>
  <c r="AI276" i="3"/>
  <c r="AC215" i="3"/>
  <c r="AF221" i="3"/>
  <c r="AG221" i="3" s="1"/>
  <c r="AI245" i="3"/>
  <c r="AH276" i="3"/>
  <c r="AC293" i="3"/>
  <c r="AC163" i="3"/>
  <c r="AC183" i="3"/>
  <c r="AH189" i="3"/>
  <c r="AH221" i="3"/>
  <c r="AC109" i="3"/>
  <c r="AH36" i="3"/>
  <c r="AI88" i="3"/>
  <c r="AH72" i="3"/>
  <c r="M89" i="3"/>
  <c r="M112" i="3"/>
  <c r="AF147" i="3"/>
  <c r="AG147" i="3" s="1"/>
  <c r="AC152" i="3"/>
  <c r="AI221" i="3"/>
  <c r="AC239" i="3"/>
  <c r="AH245" i="3"/>
  <c r="AI259" i="3"/>
  <c r="AC4" i="4"/>
  <c r="AC187" i="3"/>
  <c r="AC66" i="3"/>
  <c r="AH93" i="3"/>
  <c r="M141" i="3"/>
  <c r="AI157" i="3"/>
  <c r="AI183" i="3"/>
  <c r="AI196" i="3"/>
  <c r="AH48" i="3"/>
  <c r="AH99" i="3"/>
  <c r="AC112" i="3"/>
  <c r="AH157" i="3"/>
  <c r="AH196" i="3"/>
  <c r="AH210" i="3"/>
  <c r="AF228" i="3"/>
  <c r="AG228" i="3" s="1"/>
  <c r="AI57" i="3"/>
  <c r="AH115" i="3"/>
  <c r="AI18" i="3"/>
  <c r="AH84" i="3"/>
  <c r="AH105" i="3"/>
  <c r="AF55" i="3"/>
  <c r="AG55" i="3" s="1"/>
  <c r="AI73" i="3"/>
  <c r="AC269" i="3"/>
  <c r="AI42" i="3"/>
  <c r="M7" i="3"/>
  <c r="AF19" i="3"/>
  <c r="AG19" i="3" s="1"/>
  <c r="AF43" i="3"/>
  <c r="AG43" i="3" s="1"/>
  <c r="AH49" i="3"/>
  <c r="AH55" i="3"/>
  <c r="M67" i="3"/>
  <c r="AH73" i="3"/>
  <c r="AC107" i="3"/>
  <c r="AH112" i="3"/>
  <c r="AF141" i="3"/>
  <c r="AG141" i="3" s="1"/>
  <c r="AH178" i="3"/>
  <c r="AH191" i="3"/>
  <c r="M205" i="3"/>
  <c r="M223" i="3"/>
  <c r="AH228" i="3"/>
  <c r="AC235" i="3"/>
  <c r="M285" i="3"/>
  <c r="AH63" i="3"/>
  <c r="AH65" i="3"/>
  <c r="AF25" i="3"/>
  <c r="AG25" i="3" s="1"/>
  <c r="AC32" i="3"/>
  <c r="AH43" i="3"/>
  <c r="AI112" i="3"/>
  <c r="AH148" i="3"/>
  <c r="AI164" i="3"/>
  <c r="AI217" i="3"/>
  <c r="AF17" i="3"/>
  <c r="AG17" i="3" s="1"/>
  <c r="AH17" i="3"/>
  <c r="AH176" i="3"/>
  <c r="AI49" i="3"/>
  <c r="AH25" i="3"/>
  <c r="AH107" i="3"/>
  <c r="AC135" i="3"/>
  <c r="M149" i="3"/>
  <c r="AI153" i="3"/>
  <c r="AH164" i="3"/>
  <c r="AH102" i="3"/>
  <c r="AH151" i="3"/>
  <c r="AH12" i="3"/>
  <c r="AH6" i="3"/>
  <c r="AC20" i="3"/>
  <c r="AC50" i="3"/>
  <c r="AC74" i="3"/>
  <c r="AH118" i="3"/>
  <c r="AF192" i="3"/>
  <c r="AG192" i="3" s="1"/>
  <c r="AH260" i="3"/>
  <c r="AF272" i="3"/>
  <c r="AG272" i="3" s="1"/>
  <c r="AH292" i="3"/>
  <c r="AC261" i="3"/>
  <c r="AH154" i="3"/>
  <c r="AH236" i="3"/>
  <c r="M114" i="3"/>
  <c r="M154" i="3"/>
  <c r="AI139" i="3"/>
  <c r="M139" i="3"/>
  <c r="AH139" i="3"/>
  <c r="AC222" i="3"/>
  <c r="AH4" i="3"/>
  <c r="AF41" i="3"/>
  <c r="AG41" i="3" s="1"/>
  <c r="AH53" i="3"/>
  <c r="AF53" i="3"/>
  <c r="AG53" i="3" s="1"/>
  <c r="AI96" i="3"/>
  <c r="AC124" i="3"/>
  <c r="AC129" i="3"/>
  <c r="AH129" i="3"/>
  <c r="AF129" i="3"/>
  <c r="AG129" i="3" s="1"/>
  <c r="AI140" i="3"/>
  <c r="AC140" i="3"/>
  <c r="AH140" i="3"/>
  <c r="AF140" i="3"/>
  <c r="AG140" i="3" s="1"/>
  <c r="AF145" i="3"/>
  <c r="AG145" i="3" s="1"/>
  <c r="AI218" i="3"/>
  <c r="AC297" i="3"/>
  <c r="M297" i="3"/>
  <c r="AF297" i="3"/>
  <c r="AG297" i="3" s="1"/>
  <c r="AH297" i="3"/>
  <c r="AC100" i="3"/>
  <c r="AC139" i="3"/>
  <c r="AH165" i="3"/>
  <c r="AF165" i="3"/>
  <c r="AG165" i="3" s="1"/>
  <c r="AC165" i="3"/>
  <c r="AI22" i="3"/>
  <c r="AC22" i="3"/>
  <c r="AC161" i="3"/>
  <c r="AH134" i="3"/>
  <c r="AC242" i="3"/>
  <c r="AH242" i="3"/>
  <c r="AC273" i="3"/>
  <c r="M273" i="3"/>
  <c r="AI273" i="3"/>
  <c r="AH273" i="3"/>
  <c r="AH22" i="3"/>
  <c r="B15" i="2"/>
  <c r="AC12" i="3"/>
  <c r="AF30" i="3"/>
  <c r="AG30" i="3" s="1"/>
  <c r="AC30" i="3"/>
  <c r="AI33" i="3"/>
  <c r="AC53" i="3"/>
  <c r="M70" i="3"/>
  <c r="M78" i="3"/>
  <c r="M82" i="3"/>
  <c r="AH219" i="3"/>
  <c r="M219" i="3"/>
  <c r="AH263" i="3"/>
  <c r="AC263" i="3"/>
  <c r="M263" i="3"/>
  <c r="AI263" i="3"/>
  <c r="M280" i="3"/>
  <c r="AI280" i="3"/>
  <c r="AH280" i="3"/>
  <c r="AF60" i="3"/>
  <c r="AG60" i="3" s="1"/>
  <c r="AC29" i="3"/>
  <c r="AH171" i="3"/>
  <c r="AI171" i="3"/>
  <c r="AH199" i="3"/>
  <c r="AC199" i="3"/>
  <c r="AC232" i="3"/>
  <c r="AC134" i="3"/>
  <c r="AI29" i="3"/>
  <c r="AH29" i="3"/>
  <c r="AI100" i="3"/>
  <c r="AH128" i="3"/>
  <c r="AI128" i="3"/>
  <c r="AI290" i="3"/>
  <c r="AC290" i="3"/>
  <c r="AH290" i="3"/>
  <c r="AF18" i="3"/>
  <c r="AG18" i="3" s="1"/>
  <c r="AI189" i="3"/>
  <c r="AF222" i="3"/>
  <c r="AG222" i="3" s="1"/>
  <c r="M296" i="3"/>
  <c r="AI296" i="3"/>
  <c r="AC296" i="3"/>
  <c r="AH77" i="3"/>
  <c r="AF88" i="3"/>
  <c r="AG88" i="3" s="1"/>
  <c r="AC145" i="3"/>
  <c r="M145" i="3"/>
  <c r="AF190" i="3"/>
  <c r="AG190" i="3" s="1"/>
  <c r="AC190" i="3"/>
  <c r="AI190" i="3"/>
  <c r="AH190" i="3"/>
  <c r="M190" i="3"/>
  <c r="AC209" i="3"/>
  <c r="AF209" i="3"/>
  <c r="AG209" i="3" s="1"/>
  <c r="AH213" i="3"/>
  <c r="AI213" i="3"/>
  <c r="AC213" i="3"/>
  <c r="AH247" i="3"/>
  <c r="AC247" i="3"/>
  <c r="AI301" i="3"/>
  <c r="M8" i="3"/>
  <c r="AF15" i="3"/>
  <c r="AG15" i="3" s="1"/>
  <c r="AC26" i="3"/>
  <c r="AF29" i="3"/>
  <c r="AG29" i="3" s="1"/>
  <c r="AH37" i="3"/>
  <c r="AH61" i="3"/>
  <c r="AI61" i="3"/>
  <c r="AC77" i="3"/>
  <c r="AH100" i="3"/>
  <c r="AF109" i="3"/>
  <c r="AG109" i="3" s="1"/>
  <c r="AC186" i="3"/>
  <c r="AF186" i="3"/>
  <c r="AG186" i="3" s="1"/>
  <c r="M186" i="3"/>
  <c r="AI186" i="3"/>
  <c r="AI199" i="3"/>
  <c r="AH222" i="3"/>
  <c r="M243" i="3"/>
  <c r="AH45" i="3"/>
  <c r="AH15" i="3"/>
  <c r="AH167" i="3"/>
  <c r="AH209" i="3"/>
  <c r="AC233" i="3"/>
  <c r="M233" i="3"/>
  <c r="AF233" i="3"/>
  <c r="AG233" i="3" s="1"/>
  <c r="AH233" i="3"/>
  <c r="AH243" i="3"/>
  <c r="AC106" i="3"/>
  <c r="M106" i="3"/>
  <c r="AH119" i="3"/>
  <c r="AI119" i="3"/>
  <c r="AC119" i="3"/>
  <c r="AC130" i="3"/>
  <c r="AI130" i="3"/>
  <c r="AH130" i="3"/>
  <c r="AC146" i="3"/>
  <c r="AH146" i="3"/>
  <c r="M146" i="3"/>
  <c r="AC167" i="3"/>
  <c r="AH186" i="3"/>
  <c r="AH200" i="3"/>
  <c r="AI200" i="3"/>
  <c r="AI209" i="3"/>
  <c r="AH248" i="3"/>
  <c r="AF248" i="3"/>
  <c r="AG248" i="3" s="1"/>
  <c r="M259" i="3"/>
  <c r="AF285" i="3"/>
  <c r="AG285" i="3" s="1"/>
  <c r="AC298" i="3"/>
  <c r="AH5" i="3"/>
  <c r="AH8" i="3"/>
  <c r="AH26" i="3"/>
  <c r="AH30" i="3"/>
  <c r="AC9" i="3"/>
  <c r="M9" i="3"/>
  <c r="AF12" i="3"/>
  <c r="AG12" i="3" s="1"/>
  <c r="AI38" i="3"/>
  <c r="AF38" i="3"/>
  <c r="AG38" i="3" s="1"/>
  <c r="AC38" i="3"/>
  <c r="AH124" i="3"/>
  <c r="AC177" i="3"/>
  <c r="AF177" i="3"/>
  <c r="AG177" i="3" s="1"/>
  <c r="AH181" i="3"/>
  <c r="AC181" i="3"/>
  <c r="AC200" i="3"/>
  <c r="AI219" i="3"/>
  <c r="AF238" i="3"/>
  <c r="AG238" i="3" s="1"/>
  <c r="AC238" i="3"/>
  <c r="AH238" i="3"/>
  <c r="AI238" i="3"/>
  <c r="M238" i="3"/>
  <c r="AC248" i="3"/>
  <c r="AC259" i="3"/>
  <c r="AH3" i="4"/>
  <c r="AC3" i="4"/>
  <c r="AI3" i="4"/>
  <c r="AF123" i="3"/>
  <c r="AG123" i="3" s="1"/>
  <c r="AC123" i="3"/>
  <c r="AC15" i="3"/>
  <c r="AC128" i="3"/>
  <c r="AC185" i="3"/>
  <c r="AH185" i="3"/>
  <c r="AF185" i="3"/>
  <c r="AG185" i="3" s="1"/>
  <c r="M185" i="3"/>
  <c r="AH69" i="3"/>
  <c r="AC70" i="3"/>
  <c r="AC78" i="3"/>
  <c r="AI82" i="3"/>
  <c r="AH82" i="3"/>
  <c r="AC82" i="3"/>
  <c r="AI124" i="3"/>
  <c r="AI62" i="3"/>
  <c r="AC62" i="3"/>
  <c r="AC5" i="3"/>
  <c r="M16" i="3"/>
  <c r="AI23" i="3"/>
  <c r="AC34" i="3"/>
  <c r="AI54" i="3"/>
  <c r="AC54" i="3"/>
  <c r="M2" i="3"/>
  <c r="AC16" i="3"/>
  <c r="M31" i="3"/>
  <c r="AI46" i="3"/>
  <c r="AC46" i="3"/>
  <c r="AH62" i="3"/>
  <c r="AF82" i="3"/>
  <c r="AG82" i="3" s="1"/>
  <c r="M120" i="3"/>
  <c r="M136" i="3"/>
  <c r="AH136" i="3"/>
  <c r="AF146" i="3"/>
  <c r="AG146" i="3" s="1"/>
  <c r="AI167" i="3"/>
  <c r="AH187" i="3"/>
  <c r="AF187" i="3"/>
  <c r="AG187" i="3" s="1"/>
  <c r="AF215" i="3"/>
  <c r="AG215" i="3" s="1"/>
  <c r="AH215" i="3"/>
  <c r="AH125" i="3"/>
  <c r="AC125" i="3"/>
  <c r="AC206" i="3"/>
  <c r="AH206" i="3"/>
  <c r="M206" i="3"/>
  <c r="AI34" i="3"/>
  <c r="M39" i="3"/>
  <c r="M55" i="3"/>
  <c r="AC71" i="3"/>
  <c r="AC79" i="3"/>
  <c r="M142" i="3"/>
  <c r="AH177" i="3"/>
  <c r="AC202" i="3"/>
  <c r="M202" i="3"/>
  <c r="AC270" i="3"/>
  <c r="AH270" i="3"/>
  <c r="M299" i="3"/>
  <c r="AH299" i="3"/>
  <c r="AF299" i="3"/>
  <c r="AG299" i="3" s="1"/>
  <c r="AC299" i="3"/>
  <c r="AH184" i="3"/>
  <c r="AC6" i="3"/>
  <c r="AH13" i="3"/>
  <c r="AH131" i="3"/>
  <c r="AH168" i="3"/>
  <c r="AF168" i="3"/>
  <c r="AG168" i="3" s="1"/>
  <c r="AI206" i="3"/>
  <c r="AC39" i="3"/>
  <c r="AI67" i="3"/>
  <c r="AF71" i="3"/>
  <c r="AG71" i="3" s="1"/>
  <c r="AF79" i="3"/>
  <c r="AG79" i="3" s="1"/>
  <c r="M103" i="3"/>
  <c r="AH126" i="3"/>
  <c r="AI126" i="3"/>
  <c r="AC126" i="3"/>
  <c r="AC131" i="3"/>
  <c r="AC168" i="3"/>
  <c r="AI202" i="3"/>
  <c r="AC225" i="3"/>
  <c r="M225" i="3"/>
  <c r="AI4" i="3"/>
  <c r="AF120" i="3"/>
  <c r="AG120" i="3" s="1"/>
  <c r="AC120" i="3"/>
  <c r="AC201" i="3"/>
  <c r="AH201" i="3"/>
  <c r="AF201" i="3"/>
  <c r="AG201" i="3" s="1"/>
  <c r="M201" i="3"/>
  <c r="AC281" i="3"/>
  <c r="M281" i="3"/>
  <c r="AI281" i="3"/>
  <c r="AC2" i="3"/>
  <c r="AC31" i="3"/>
  <c r="AI24" i="3"/>
  <c r="M24" i="3"/>
  <c r="AC13" i="3"/>
  <c r="AC24" i="3"/>
  <c r="AC55" i="3"/>
  <c r="M10" i="3"/>
  <c r="AC28" i="3"/>
  <c r="AC47" i="3"/>
  <c r="AF63" i="3"/>
  <c r="AG63" i="3" s="1"/>
  <c r="AC103" i="3"/>
  <c r="AH183" i="3"/>
  <c r="AC137" i="3"/>
  <c r="AH137" i="3"/>
  <c r="AH216" i="3"/>
  <c r="AI216" i="3"/>
  <c r="AC10" i="3"/>
  <c r="AH127" i="3"/>
  <c r="AH143" i="3"/>
  <c r="M143" i="3"/>
  <c r="AH197" i="3"/>
  <c r="AF197" i="3"/>
  <c r="AG197" i="3" s="1"/>
  <c r="AI197" i="3"/>
  <c r="AC197" i="3"/>
  <c r="AC4" i="3"/>
  <c r="AC132" i="3"/>
  <c r="AH132" i="3"/>
  <c r="AI132" i="3"/>
  <c r="M132" i="3"/>
  <c r="AC169" i="3"/>
  <c r="AH169" i="3"/>
  <c r="AF169" i="3"/>
  <c r="AG169" i="3" s="1"/>
  <c r="M169" i="3"/>
  <c r="AF266" i="3"/>
  <c r="AG266" i="3" s="1"/>
  <c r="AC266" i="3"/>
  <c r="AH266" i="3"/>
  <c r="M266" i="3"/>
  <c r="AC174" i="3"/>
  <c r="AI174" i="3"/>
  <c r="AH174" i="3"/>
  <c r="M174" i="3"/>
  <c r="AC193" i="3"/>
  <c r="AF193" i="3"/>
  <c r="AG193" i="3" s="1"/>
  <c r="AC216" i="3"/>
  <c r="AH240" i="3"/>
  <c r="AC240" i="3"/>
  <c r="AH21" i="3"/>
  <c r="M68" i="3"/>
  <c r="AH68" i="3"/>
  <c r="M76" i="3"/>
  <c r="AH76" i="3"/>
  <c r="AC127" i="3"/>
  <c r="AI133" i="3"/>
  <c r="M133" i="3"/>
  <c r="AH133" i="3"/>
  <c r="AC143" i="3"/>
  <c r="AC170" i="3"/>
  <c r="M170" i="3"/>
  <c r="AH203" i="3"/>
  <c r="AI203" i="3"/>
  <c r="M251" i="3"/>
  <c r="AC251" i="3"/>
  <c r="AH251" i="3"/>
  <c r="AI10" i="3"/>
  <c r="AI14" i="3"/>
  <c r="AC14" i="3"/>
  <c r="AC21" i="3"/>
  <c r="AC36" i="3"/>
  <c r="AI39" i="3"/>
  <c r="AI55" i="3"/>
  <c r="M60" i="3"/>
  <c r="AH60" i="3"/>
  <c r="AC68" i="3"/>
  <c r="AC76" i="3"/>
  <c r="AC133" i="3"/>
  <c r="AF174" i="3"/>
  <c r="AG174" i="3" s="1"/>
  <c r="AI193" i="3"/>
  <c r="AC203" i="3"/>
  <c r="AC226" i="3"/>
  <c r="AH226" i="3"/>
  <c r="AF240" i="3"/>
  <c r="AG240" i="3" s="1"/>
  <c r="M256" i="3"/>
  <c r="AH256" i="3"/>
  <c r="AI256" i="3"/>
  <c r="AH28" i="3"/>
  <c r="M44" i="3"/>
  <c r="AH44" i="3"/>
  <c r="AI47" i="3"/>
  <c r="M52" i="3"/>
  <c r="AH52" i="3"/>
  <c r="AC60" i="3"/>
  <c r="AC117" i="3"/>
  <c r="AF143" i="3"/>
  <c r="AG143" i="3" s="1"/>
  <c r="AI170" i="3"/>
  <c r="AF212" i="3"/>
  <c r="AG212" i="3" s="1"/>
  <c r="AI251" i="3"/>
  <c r="AC256" i="3"/>
  <c r="AI277" i="3"/>
  <c r="AF277" i="3"/>
  <c r="AG277" i="3" s="1"/>
  <c r="AC294" i="3"/>
  <c r="AH294" i="3"/>
  <c r="AH14" i="3"/>
  <c r="AF21" i="3"/>
  <c r="AG21" i="3" s="1"/>
  <c r="AC44" i="3"/>
  <c r="AC52" i="3"/>
  <c r="M100" i="3"/>
  <c r="AC122" i="3"/>
  <c r="AH122" i="3"/>
  <c r="M184" i="3"/>
  <c r="AH193" i="3"/>
  <c r="AH231" i="3"/>
  <c r="AC231" i="3"/>
  <c r="AC289" i="3"/>
  <c r="M289" i="3"/>
  <c r="AI289" i="3"/>
  <c r="AH289" i="3"/>
  <c r="AF94" i="3"/>
  <c r="AG94" i="3" s="1"/>
  <c r="AI94" i="3"/>
  <c r="AC97" i="3"/>
  <c r="AF97" i="3"/>
  <c r="AG97" i="3" s="1"/>
  <c r="AF158" i="3"/>
  <c r="AG158" i="3" s="1"/>
  <c r="AI158" i="3"/>
  <c r="M264" i="3"/>
  <c r="AF2" i="4"/>
  <c r="AG2" i="4" s="1"/>
  <c r="M32" i="3"/>
  <c r="M40" i="3"/>
  <c r="M48" i="3"/>
  <c r="M56" i="3"/>
  <c r="M64" i="3"/>
  <c r="M72" i="3"/>
  <c r="M80" i="3"/>
  <c r="AH94" i="3"/>
  <c r="AI97" i="3"/>
  <c r="M101" i="3"/>
  <c r="M104" i="3"/>
  <c r="AC116" i="3"/>
  <c r="AH158" i="3"/>
  <c r="M162" i="3"/>
  <c r="M178" i="3"/>
  <c r="M194" i="3"/>
  <c r="M210" i="3"/>
  <c r="AF282" i="3"/>
  <c r="AG282" i="3" s="1"/>
  <c r="AC282" i="3"/>
  <c r="AH91" i="3"/>
  <c r="M95" i="3"/>
  <c r="M98" i="3"/>
  <c r="AC113" i="3"/>
  <c r="AH155" i="3"/>
  <c r="AC241" i="3"/>
  <c r="M241" i="3"/>
  <c r="AI241" i="3"/>
  <c r="AH264" i="3"/>
  <c r="AC286" i="3"/>
  <c r="AH286" i="3"/>
  <c r="AC220" i="3"/>
  <c r="AC230" i="3"/>
  <c r="AH230" i="3"/>
  <c r="AC265" i="3"/>
  <c r="M265" i="3"/>
  <c r="AI265" i="3"/>
  <c r="M291" i="3"/>
  <c r="AH295" i="3"/>
  <c r="AC295" i="3"/>
  <c r="M295" i="3"/>
  <c r="AI83" i="3"/>
  <c r="AC92" i="3"/>
  <c r="AI113" i="3"/>
  <c r="AC156" i="3"/>
  <c r="AC159" i="3"/>
  <c r="AI162" i="3"/>
  <c r="AC175" i="3"/>
  <c r="AI178" i="3"/>
  <c r="AC191" i="3"/>
  <c r="AI194" i="3"/>
  <c r="AC207" i="3"/>
  <c r="AI210" i="3"/>
  <c r="AI223" i="3"/>
  <c r="AI234" i="3"/>
  <c r="AC234" i="3"/>
  <c r="AC274" i="3"/>
  <c r="AH282" i="3"/>
  <c r="AF286" i="3"/>
  <c r="AG286" i="3" s="1"/>
  <c r="AC291" i="3"/>
  <c r="AI48" i="3"/>
  <c r="AF64" i="3"/>
  <c r="AG64" i="3" s="1"/>
  <c r="AF72" i="3"/>
  <c r="AG72" i="3" s="1"/>
  <c r="AC83" i="3"/>
  <c r="AF86" i="3"/>
  <c r="AG86" i="3" s="1"/>
  <c r="AI86" i="3"/>
  <c r="AC89" i="3"/>
  <c r="AF98" i="3"/>
  <c r="AG98" i="3" s="1"/>
  <c r="AF110" i="3"/>
  <c r="AG110" i="3" s="1"/>
  <c r="M138" i="3"/>
  <c r="AC153" i="3"/>
  <c r="AC172" i="3"/>
  <c r="AI188" i="3"/>
  <c r="AC188" i="3"/>
  <c r="AI204" i="3"/>
  <c r="AC204" i="3"/>
  <c r="AI227" i="3"/>
  <c r="AF227" i="3"/>
  <c r="AG227" i="3" s="1"/>
  <c r="AI230" i="3"/>
  <c r="AH241" i="3"/>
  <c r="AC257" i="3"/>
  <c r="M257" i="3"/>
  <c r="AF257" i="3"/>
  <c r="AG257" i="3" s="1"/>
  <c r="AH265" i="3"/>
  <c r="AF278" i="3"/>
  <c r="AG278" i="3" s="1"/>
  <c r="AC278" i="3"/>
  <c r="AI278" i="3"/>
  <c r="AH278" i="3"/>
  <c r="AI295" i="3"/>
  <c r="AC3" i="3"/>
  <c r="AC11" i="3"/>
  <c r="AC19" i="3"/>
  <c r="AC27" i="3"/>
  <c r="AC35" i="3"/>
  <c r="AC43" i="3"/>
  <c r="AF48" i="3"/>
  <c r="AG48" i="3" s="1"/>
  <c r="AC51" i="3"/>
  <c r="AC59" i="3"/>
  <c r="AC67" i="3"/>
  <c r="AF92" i="3"/>
  <c r="AG92" i="3" s="1"/>
  <c r="AF95" i="3"/>
  <c r="AG95" i="3" s="1"/>
  <c r="AH113" i="3"/>
  <c r="AH116" i="3"/>
  <c r="AF135" i="3"/>
  <c r="AG135" i="3" s="1"/>
  <c r="AC141" i="3"/>
  <c r="AC144" i="3"/>
  <c r="AC147" i="3"/>
  <c r="AC150" i="3"/>
  <c r="AF156" i="3"/>
  <c r="AG156" i="3" s="1"/>
  <c r="AI159" i="3"/>
  <c r="AI175" i="3"/>
  <c r="AI191" i="3"/>
  <c r="AC217" i="3"/>
  <c r="M217" i="3"/>
  <c r="AH223" i="3"/>
  <c r="AC227" i="3"/>
  <c r="AC249" i="3"/>
  <c r="M249" i="3"/>
  <c r="AI283" i="3"/>
  <c r="AF283" i="3"/>
  <c r="AG283" i="3" s="1"/>
  <c r="M283" i="3"/>
  <c r="AH287" i="3"/>
  <c r="AF287" i="3"/>
  <c r="AG287" i="3" s="1"/>
  <c r="AC287" i="3"/>
  <c r="M287" i="3"/>
  <c r="AI291" i="3"/>
  <c r="AI300" i="3"/>
  <c r="AC166" i="3"/>
  <c r="AC182" i="3"/>
  <c r="AC198" i="3"/>
  <c r="AC214" i="3"/>
  <c r="M275" i="3"/>
  <c r="AH279" i="3"/>
  <c r="AC279" i="3"/>
  <c r="M279" i="3"/>
  <c r="M17" i="3"/>
  <c r="M25" i="3"/>
  <c r="M33" i="3"/>
  <c r="M41" i="3"/>
  <c r="M49" i="3"/>
  <c r="M57" i="3"/>
  <c r="M65" i="3"/>
  <c r="M73" i="3"/>
  <c r="M93" i="3"/>
  <c r="M96" i="3"/>
  <c r="AC108" i="3"/>
  <c r="AC111" i="3"/>
  <c r="M157" i="3"/>
  <c r="AF179" i="3"/>
  <c r="AG179" i="3" s="1"/>
  <c r="AI195" i="3"/>
  <c r="AF195" i="3"/>
  <c r="AG195" i="3" s="1"/>
  <c r="AI211" i="3"/>
  <c r="AF211" i="3"/>
  <c r="AG211" i="3" s="1"/>
  <c r="AC224" i="3"/>
  <c r="M235" i="3"/>
  <c r="AI258" i="3"/>
  <c r="AC258" i="3"/>
  <c r="AC275" i="3"/>
  <c r="AH283" i="3"/>
  <c r="AF81" i="3"/>
  <c r="AG81" i="3" s="1"/>
  <c r="AC105" i="3"/>
  <c r="AI114" i="3"/>
  <c r="AF166" i="3"/>
  <c r="AG166" i="3" s="1"/>
  <c r="AF182" i="3"/>
  <c r="AG182" i="3" s="1"/>
  <c r="AI208" i="3"/>
  <c r="AF214" i="3"/>
  <c r="AG214" i="3" s="1"/>
  <c r="AC246" i="3"/>
  <c r="AH246" i="3"/>
  <c r="AC250" i="3"/>
  <c r="AC262" i="3"/>
  <c r="AH262" i="3"/>
  <c r="AF279" i="3"/>
  <c r="AG279" i="3" s="1"/>
  <c r="AI288" i="3"/>
  <c r="M288" i="3"/>
  <c r="AC81" i="3"/>
  <c r="AF87" i="3"/>
  <c r="AG87" i="3" s="1"/>
  <c r="AC99" i="3"/>
  <c r="AC102" i="3"/>
  <c r="AI108" i="3"/>
  <c r="AI111" i="3"/>
  <c r="AI135" i="3"/>
  <c r="AC160" i="3"/>
  <c r="AC176" i="3"/>
  <c r="AC192" i="3"/>
  <c r="AC208" i="3"/>
  <c r="M218" i="3"/>
  <c r="AH239" i="3"/>
  <c r="AF239" i="3"/>
  <c r="AG239" i="3" s="1"/>
  <c r="AF254" i="3"/>
  <c r="AG254" i="3" s="1"/>
  <c r="AC254" i="3"/>
  <c r="AI254" i="3"/>
  <c r="AH254" i="3"/>
  <c r="AF267" i="3"/>
  <c r="AG267" i="3" s="1"/>
  <c r="M267" i="3"/>
  <c r="AH271" i="3"/>
  <c r="AF271" i="3"/>
  <c r="AG271" i="3" s="1"/>
  <c r="AC271" i="3"/>
  <c r="M271" i="3"/>
  <c r="AI275" i="3"/>
  <c r="AI284" i="3"/>
  <c r="AC288" i="3"/>
  <c r="AI105" i="3"/>
  <c r="AC148" i="3"/>
  <c r="AI163" i="3"/>
  <c r="AH166" i="3"/>
  <c r="AH182" i="3"/>
  <c r="AH198" i="3"/>
  <c r="AH214" i="3"/>
  <c r="AH275" i="3"/>
  <c r="AI279" i="3"/>
  <c r="AI115" i="3"/>
  <c r="AF118" i="3"/>
  <c r="AG118" i="3" s="1"/>
  <c r="AI118" i="3"/>
  <c r="AC121" i="3"/>
  <c r="AF121" i="3"/>
  <c r="AG121" i="3" s="1"/>
  <c r="AC164" i="3"/>
  <c r="AC180" i="3"/>
  <c r="AC196" i="3"/>
  <c r="AI212" i="3"/>
  <c r="AC212" i="3"/>
  <c r="AH255" i="3"/>
  <c r="AC255" i="3"/>
  <c r="AI272" i="3"/>
  <c r="M272" i="3"/>
  <c r="AH7" i="4"/>
  <c r="AF7" i="4"/>
  <c r="AG7" i="4" s="1"/>
  <c r="AC7" i="4"/>
  <c r="AH2" i="4"/>
  <c r="AC228" i="3"/>
  <c r="AC236" i="3"/>
  <c r="AC244" i="3"/>
  <c r="AC252" i="3"/>
  <c r="AC260" i="3"/>
  <c r="AC268" i="3"/>
  <c r="AC276" i="3"/>
  <c r="AC284" i="3"/>
  <c r="AC292" i="3"/>
  <c r="AC300" i="3"/>
  <c r="AI2" i="4"/>
  <c r="AH5" i="4"/>
  <c r="AC6" i="4"/>
  <c r="AH4" i="4"/>
  <c r="AC2" i="4"/>
  <c r="AF244" i="3" l="1"/>
  <c r="AG244" i="3" s="1"/>
  <c r="AI242" i="3"/>
  <c r="AF127" i="3"/>
  <c r="AG127" i="3" s="1"/>
  <c r="AI84" i="3"/>
  <c r="AF69" i="3"/>
  <c r="AG69" i="3" s="1"/>
  <c r="AF9" i="3"/>
  <c r="AG9" i="3" s="1"/>
  <c r="AI26" i="3"/>
  <c r="AF51" i="3"/>
  <c r="AG51" i="3" s="1"/>
  <c r="M2" i="4"/>
  <c r="AF75" i="3"/>
  <c r="AG75" i="3" s="1"/>
  <c r="AI44" i="3"/>
  <c r="AI59" i="3"/>
  <c r="AI5" i="3"/>
  <c r="AI116" i="3"/>
  <c r="AF253" i="3"/>
  <c r="AG253" i="3" s="1"/>
  <c r="AF255" i="3"/>
  <c r="AG255" i="3" s="1"/>
  <c r="AF74" i="3"/>
  <c r="AG74" i="3" s="1"/>
  <c r="AF290" i="3"/>
  <c r="AG290" i="3" s="1"/>
  <c r="AI25" i="3"/>
  <c r="AF237" i="3"/>
  <c r="AG237" i="3" s="1"/>
  <c r="AF90" i="3"/>
  <c r="AG90" i="3" s="1"/>
  <c r="AI155" i="3"/>
  <c r="AI3" i="3"/>
  <c r="AI138" i="3"/>
  <c r="AF280" i="3"/>
  <c r="AG280" i="3" s="1"/>
  <c r="AI99" i="3"/>
  <c r="AF226" i="3"/>
  <c r="AG226" i="3" s="1"/>
  <c r="AI64" i="3"/>
  <c r="AI72" i="3"/>
  <c r="AF229" i="3"/>
  <c r="AG229" i="3" s="1"/>
  <c r="AF224" i="3"/>
  <c r="AG224" i="3" s="1"/>
  <c r="AF65" i="3"/>
  <c r="AG65" i="3" s="1"/>
  <c r="AF149" i="3"/>
  <c r="AG149" i="3" s="1"/>
  <c r="AF50" i="3"/>
  <c r="AG50" i="3" s="1"/>
  <c r="AI268" i="3"/>
  <c r="AI56" i="3"/>
  <c r="AF2" i="3"/>
  <c r="AI165" i="3"/>
  <c r="AI13" i="3"/>
  <c r="AF139" i="3"/>
  <c r="AG139" i="3" s="1"/>
  <c r="AI40" i="3"/>
  <c r="AF132" i="3"/>
  <c r="AG132" i="3" s="1"/>
  <c r="AI293" i="3"/>
  <c r="AF114" i="3"/>
  <c r="AG114" i="3" s="1"/>
  <c r="AI228" i="3"/>
  <c r="AI261" i="3"/>
  <c r="AI192" i="3"/>
  <c r="AF108" i="3"/>
  <c r="AG108" i="3" s="1"/>
  <c r="AI240" i="3"/>
  <c r="AI187" i="3"/>
  <c r="AF263" i="3"/>
  <c r="AG263" i="3" s="1"/>
  <c r="AI129" i="3"/>
  <c r="AF180" i="3"/>
  <c r="AG180" i="3" s="1"/>
  <c r="AF119" i="3"/>
  <c r="AG119" i="3" s="1"/>
  <c r="AF22" i="3"/>
  <c r="AG22" i="3" s="1"/>
  <c r="AF10" i="3"/>
  <c r="AG10" i="3" s="1"/>
  <c r="AF231" i="3"/>
  <c r="AG231" i="3" s="1"/>
  <c r="AI266" i="3"/>
  <c r="AF157" i="3"/>
  <c r="AG157" i="3" s="1"/>
  <c r="AF294" i="3"/>
  <c r="AG294" i="3" s="1"/>
  <c r="AF217" i="3"/>
  <c r="AG217" i="3" s="1"/>
  <c r="AI150" i="3"/>
  <c r="AF235" i="3"/>
  <c r="AG235" i="3" s="1"/>
  <c r="AI286" i="3"/>
  <c r="AI35" i="3"/>
  <c r="AI282" i="3"/>
  <c r="AI70" i="3"/>
  <c r="AF37" i="3"/>
  <c r="AG37" i="3" s="1"/>
  <c r="AI11" i="3"/>
  <c r="AF245" i="3"/>
  <c r="AG245" i="3" s="1"/>
  <c r="AF275" i="3"/>
  <c r="AG275" i="3" s="1"/>
  <c r="AF183" i="3"/>
  <c r="AG183" i="3" s="1"/>
  <c r="AF66" i="3"/>
  <c r="AG66" i="3" s="1"/>
  <c r="AF259" i="3"/>
  <c r="AG259" i="3" s="1"/>
  <c r="AF73" i="3"/>
  <c r="AG73" i="3" s="1"/>
  <c r="AF250" i="3"/>
  <c r="AG250" i="3" s="1"/>
  <c r="AF133" i="3"/>
  <c r="AG133" i="3" s="1"/>
  <c r="AF80" i="3"/>
  <c r="AG80" i="3" s="1"/>
  <c r="AI233" i="3"/>
  <c r="AF42" i="3"/>
  <c r="AG42" i="3" s="1"/>
  <c r="AF289" i="3"/>
  <c r="AG289" i="3" s="1"/>
  <c r="AI28" i="3"/>
  <c r="AF7" i="3"/>
  <c r="AG7" i="3" s="1"/>
  <c r="AF107" i="3"/>
  <c r="AG107" i="3" s="1"/>
  <c r="AF124" i="3"/>
  <c r="AG124" i="3" s="1"/>
  <c r="AI243" i="3"/>
  <c r="AF241" i="3"/>
  <c r="AG241" i="3" s="1"/>
  <c r="AF247" i="3"/>
  <c r="AG247" i="3" s="1"/>
  <c r="AF273" i="3"/>
  <c r="AG273" i="3" s="1"/>
  <c r="AI93" i="3"/>
  <c r="AF58" i="3"/>
  <c r="AG58" i="3" s="1"/>
  <c r="AF104" i="3"/>
  <c r="AG104" i="3" s="1"/>
  <c r="AF246" i="3"/>
  <c r="AG246" i="3" s="1"/>
  <c r="AF234" i="3"/>
  <c r="AG234" i="3" s="1"/>
  <c r="AF6" i="3"/>
  <c r="AG6" i="3" s="1"/>
  <c r="AI43" i="3"/>
  <c r="AF46" i="3"/>
  <c r="AG46" i="3" s="1"/>
  <c r="AI15" i="3"/>
  <c r="AI257" i="3"/>
  <c r="AF210" i="3"/>
  <c r="AG210" i="3" s="1"/>
  <c r="AI30" i="3"/>
  <c r="AI262" i="3"/>
  <c r="AI7" i="4"/>
  <c r="M7" i="4" s="1"/>
  <c r="AI110" i="3"/>
  <c r="AI144" i="3"/>
  <c r="AF45" i="3"/>
  <c r="AG45" i="3" s="1"/>
  <c r="AF152" i="3"/>
  <c r="AG152" i="3" s="1"/>
  <c r="AF219" i="3"/>
  <c r="AG219" i="3" s="1"/>
  <c r="AI260" i="3"/>
  <c r="AF196" i="3"/>
  <c r="AG196" i="3" s="1"/>
  <c r="AI91" i="3"/>
  <c r="AI148" i="3"/>
  <c r="AI4" i="4"/>
  <c r="M4" i="4" s="1"/>
  <c r="AI172" i="3"/>
  <c r="AI264" i="3"/>
  <c r="AF24" i="3"/>
  <c r="AG24" i="3" s="1"/>
  <c r="AF126" i="3"/>
  <c r="AG126" i="3" s="1"/>
  <c r="AF298" i="3"/>
  <c r="AG298" i="3" s="1"/>
  <c r="AI185" i="3"/>
  <c r="AF85" i="3"/>
  <c r="AG85" i="3" s="1"/>
  <c r="AF164" i="3"/>
  <c r="AG164" i="3" s="1"/>
  <c r="AI27" i="3"/>
  <c r="AF163" i="3"/>
  <c r="AG163" i="3" s="1"/>
  <c r="AI92" i="3"/>
  <c r="AF170" i="3"/>
  <c r="AG170" i="3" s="1"/>
  <c r="AF153" i="3"/>
  <c r="AG153" i="3" s="1"/>
  <c r="AI236" i="3"/>
  <c r="AI299" i="3"/>
  <c r="AI292" i="3"/>
  <c r="AI184" i="3"/>
  <c r="AI198" i="3"/>
  <c r="AI98" i="3"/>
  <c r="AI95" i="3"/>
  <c r="AF103" i="3"/>
  <c r="AG103" i="3" s="1"/>
  <c r="AF134" i="3"/>
  <c r="AG134" i="3" s="1"/>
  <c r="AI176" i="3"/>
  <c r="AI102" i="3"/>
  <c r="AI141" i="3"/>
  <c r="AI16" i="3"/>
  <c r="AF223" i="3"/>
  <c r="AG223" i="3" s="1"/>
  <c r="AI147" i="3"/>
  <c r="AF269" i="3"/>
  <c r="AG269" i="3" s="1"/>
  <c r="AF49" i="3"/>
  <c r="AG49" i="3" s="1"/>
  <c r="AI19" i="3"/>
  <c r="AI120" i="3"/>
  <c r="AF125" i="3"/>
  <c r="AG125" i="3" s="1"/>
  <c r="AF32" i="3"/>
  <c r="AG32" i="3" s="1"/>
  <c r="AF230" i="3"/>
  <c r="AG230" i="3" s="1"/>
  <c r="AF14" i="3"/>
  <c r="AG14" i="3" s="1"/>
  <c r="AI225" i="3"/>
  <c r="AI168" i="3"/>
  <c r="AF270" i="3"/>
  <c r="AG270" i="3" s="1"/>
  <c r="AF78" i="3"/>
  <c r="AG78" i="3" s="1"/>
  <c r="AI297" i="3"/>
  <c r="AI53" i="3"/>
  <c r="AF77" i="3"/>
  <c r="AG77" i="3" s="1"/>
  <c r="AI169" i="3"/>
  <c r="AF23" i="3"/>
  <c r="AG23" i="3" s="1"/>
  <c r="AF4" i="3"/>
  <c r="AG4" i="3" s="1"/>
  <c r="AI8" i="3"/>
  <c r="AF256" i="3"/>
  <c r="AG256" i="3" s="1"/>
  <c r="AF216" i="3"/>
  <c r="AG216" i="3" s="1"/>
  <c r="AI220" i="3"/>
  <c r="AF131" i="3"/>
  <c r="AG131" i="3" s="1"/>
  <c r="AF3" i="4"/>
  <c r="AG3" i="4" s="1"/>
  <c r="M3" i="4" s="1"/>
  <c r="AF200" i="3"/>
  <c r="AG200" i="3" s="1"/>
  <c r="AI161" i="3"/>
  <c r="B16" i="2"/>
  <c r="AI123" i="3"/>
  <c r="AI214" i="3"/>
  <c r="AF207" i="3"/>
  <c r="AG207" i="3" s="1"/>
  <c r="AF191" i="3"/>
  <c r="AG191" i="3" s="1"/>
  <c r="AI21" i="3"/>
  <c r="AI137" i="3"/>
  <c r="AF296" i="3"/>
  <c r="AG296" i="3" s="1"/>
  <c r="AI232" i="3"/>
  <c r="AI222" i="3"/>
  <c r="AI248" i="3"/>
  <c r="AF194" i="3"/>
  <c r="AG194" i="3" s="1"/>
  <c r="AI156" i="3"/>
  <c r="AF122" i="3"/>
  <c r="AG122" i="3" s="1"/>
  <c r="AF175" i="3"/>
  <c r="AG175" i="3" s="1"/>
  <c r="AF251" i="3"/>
  <c r="AG251" i="3" s="1"/>
  <c r="AF105" i="3"/>
  <c r="AG105" i="3" s="1"/>
  <c r="AF274" i="3"/>
  <c r="AG274" i="3" s="1"/>
  <c r="AF178" i="3"/>
  <c r="AG178" i="3" s="1"/>
  <c r="AF159" i="3"/>
  <c r="AG159" i="3" s="1"/>
  <c r="AF54" i="3"/>
  <c r="AG54" i="3" s="1"/>
  <c r="AF213" i="3"/>
  <c r="AG213" i="3" s="1"/>
  <c r="AF199" i="3"/>
  <c r="AG199" i="3" s="1"/>
  <c r="AF258" i="3"/>
  <c r="AG258" i="3" s="1"/>
  <c r="AI249" i="3"/>
  <c r="AF162" i="3"/>
  <c r="AG162" i="3" s="1"/>
  <c r="AF76" i="3"/>
  <c r="AG76" i="3" s="1"/>
  <c r="AI76" i="3"/>
  <c r="AF203" i="3"/>
  <c r="AG203" i="3" s="1"/>
  <c r="AF142" i="3"/>
  <c r="AG142" i="3" s="1"/>
  <c r="AI146" i="3"/>
  <c r="AF167" i="3"/>
  <c r="AG167" i="3" s="1"/>
  <c r="AF61" i="3"/>
  <c r="AG61" i="3" s="1"/>
  <c r="AF100" i="3"/>
  <c r="AG100" i="3" s="1"/>
  <c r="AF171" i="3"/>
  <c r="AG171" i="3" s="1"/>
  <c r="AI182" i="3"/>
  <c r="AF101" i="3"/>
  <c r="AG101" i="3" s="1"/>
  <c r="AF68" i="3"/>
  <c r="AG68" i="3" s="1"/>
  <c r="AI68" i="3"/>
  <c r="AF281" i="3"/>
  <c r="AG281" i="3" s="1"/>
  <c r="AG2" i="3"/>
  <c r="AF295" i="3"/>
  <c r="AG295" i="3" s="1"/>
  <c r="AF117" i="3"/>
  <c r="AG117" i="3" s="1"/>
  <c r="AF6" i="4"/>
  <c r="AG6" i="4" s="1"/>
  <c r="AI166" i="3"/>
  <c r="AF291" i="3"/>
  <c r="AG291" i="3" s="1"/>
  <c r="AF36" i="3"/>
  <c r="AG36" i="3" s="1"/>
  <c r="AI36" i="3"/>
  <c r="AF130" i="3"/>
  <c r="AG130" i="3" s="1"/>
  <c r="AI31" i="3"/>
  <c r="AF206" i="3"/>
  <c r="AG206" i="3" s="1"/>
  <c r="AI136" i="3"/>
  <c r="AF136" i="3"/>
  <c r="AG136" i="3" s="1"/>
  <c r="AI5" i="4"/>
  <c r="M5" i="4" s="1"/>
  <c r="AF265" i="3"/>
  <c r="AG265" i="3" s="1"/>
  <c r="AF113" i="3"/>
  <c r="AG113" i="3" s="1"/>
  <c r="AI143" i="3"/>
  <c r="AI201" i="3"/>
  <c r="AI145" i="3"/>
  <c r="AF106" i="3"/>
  <c r="AG106" i="3" s="1"/>
  <c r="AF62" i="3"/>
  <c r="AG62" i="3" s="1"/>
  <c r="AF128" i="3"/>
  <c r="AG128" i="3" s="1"/>
  <c r="AF111" i="3"/>
  <c r="AG111" i="3" s="1"/>
  <c r="AF181" i="3"/>
  <c r="AG181" i="3" s="1"/>
  <c r="AI6" i="4" l="1"/>
  <c r="M6" i="4" s="1"/>
  <c r="B17" i="2"/>
</calcChain>
</file>

<file path=xl/sharedStrings.xml><?xml version="1.0" encoding="utf-8"?>
<sst xmlns="http://schemas.openxmlformats.org/spreadsheetml/2006/main" count="275" uniqueCount="212">
  <si>
    <t>Formato de programación – Calendario Institucional</t>
  </si>
  <si>
    <t>Una fila por actividad. Solo se escribe en las celdas de color.</t>
  </si>
  <si>
    <t>3 pasos</t>
  </si>
  <si>
    <t>Paso 1</t>
  </si>
  <si>
    <t>Llene la hoja «1. Datos del área» (una sola vez).</t>
  </si>
  <si>
    <t>Paso 2</t>
  </si>
  <si>
    <t>En la hoja «2. Actividades», escriba una fila por actividad.</t>
  </si>
  <si>
    <t>Paso 3</t>
  </si>
  <si>
    <t>Mire la columna «✔ Así quedó». Si todo está en verde, envíe el archivo.</t>
  </si>
  <si>
    <t>Cómo escribir las fechas</t>
  </si>
  <si>
    <t>Si su actividad es…</t>
  </si>
  <si>
    <t>Escriba…</t>
  </si>
  <si>
    <t>De un solo día</t>
  </si>
  <si>
    <t>La fecha en «Desde». Deje vacío «¿Se repite?».</t>
  </si>
  <si>
    <t>De varios días seguidos</t>
  </si>
  <si>
    <t>El primer día en «Desde» y el último en «Hasta».</t>
  </si>
  <si>
    <t>Se repite (semanal, mensual…)</t>
  </si>
  <si>
    <t>La primera fecha en «Desde», la última en «Hasta» y en «¿Se repite?» elija cada cuánto. Si es mensual, se toma el mismo día de la primera fecha (ej. primer miércoles).</t>
  </si>
  <si>
    <t>En fechas sueltas, sin un patrón</t>
  </si>
  <si>
    <t>En «¿Se repite?» elija «En fechas específicas» y escriba cada fecha en Fecha 1, Fecha 2… (hasta 12). Si son más, use otra fila.</t>
  </si>
  <si>
    <t>Tenga en cuenta</t>
  </si>
  <si>
    <t>•  Fechas como dd/mm/aaaa (ej. 03/02/2027). Horas como hh:mm en 24 horas (ej. 14:30). Si es todo el día, deje las horas vacías.</t>
  </si>
  <si>
    <t>•  No escriba «octubre», «T4», «segunda semana» ni «permanente»: el formato no lo acepta.</t>
  </si>
  <si>
    <t>•  Si la actividad es en la sede principal del área, puede dejar la sede vacía.</t>
  </si>
  <si>
    <t>•  Si la regla es distinta (ej. «el día 15 de cada mes») use «En fechas específicas».</t>
  </si>
  <si>
    <t>•  Si en algún mes no hay sesión, escríbalo en «Observaciones».</t>
  </si>
  <si>
    <t>•  Las sesiones que caigan en festivo pasan al día hábil siguiente. «Así quedó» le avisa cuáles son.</t>
  </si>
  <si>
    <t>•  Vea la hoja «Ejemplos» para ver cómo queda cada caso.</t>
  </si>
  <si>
    <t>Colores</t>
  </si>
  <si>
    <t>Para llenar</t>
  </si>
  <si>
    <t>Fechas específicas (solo si aplica)</t>
  </si>
  <si>
    <t>Automático, no se escribe</t>
  </si>
  <si>
    <t>✔ Quedó bien</t>
  </si>
  <si>
    <t>✔ … ⚠ Quedó bien, pero revise el aviso</t>
  </si>
  <si>
    <t>⚠ Falta algo o hay un error</t>
  </si>
  <si>
    <t>1. Datos del área</t>
  </si>
  <si>
    <t>Se llenan una sola vez y aplican a todas las actividades del archivo.</t>
  </si>
  <si>
    <t>Área o dependencia *</t>
  </si>
  <si>
    <t>Unidad Líder *</t>
  </si>
  <si>
    <t>Sede principal *</t>
  </si>
  <si>
    <t>Nombre de quien diligencia *</t>
  </si>
  <si>
    <t>Correo institucional *</t>
  </si>
  <si>
    <t>Extensión / teléfono</t>
  </si>
  <si>
    <t>Fecha de envío</t>
  </si>
  <si>
    <t>Visto bueno del jefe del área (nombre y cargo) *</t>
  </si>
  <si>
    <t>Revisión automática</t>
  </si>
  <si>
    <t>Actividades escritas</t>
  </si>
  <si>
    <t>Actividades con algo por corregir</t>
  </si>
  <si>
    <t>Fechas que quedarán en el calendario</t>
  </si>
  <si>
    <t>Estado del formato</t>
  </si>
  <si>
    <t>Actividad *</t>
  </si>
  <si>
    <t>Categoría *</t>
  </si>
  <si>
    <t>Sede
(vacío = sede principal)</t>
  </si>
  <si>
    <t>Lugar *</t>
  </si>
  <si>
    <t>Hora inicio
(hh:mm)</t>
  </si>
  <si>
    <t>Hora fin
(hh:mm)</t>
  </si>
  <si>
    <t>¿Se repite?
(vacío = No)</t>
  </si>
  <si>
    <t>Desde
(dd/mm/aaaa)</t>
  </si>
  <si>
    <t>Hasta
(dd/mm/aaaa)</t>
  </si>
  <si>
    <t>✔ Así quedó
(automático)</t>
  </si>
  <si>
    <t>Fecha 1</t>
  </si>
  <si>
    <t>Fecha 2</t>
  </si>
  <si>
    <t>Fecha 3</t>
  </si>
  <si>
    <t>Fecha 4</t>
  </si>
  <si>
    <t>Fecha 5</t>
  </si>
  <si>
    <t>Fecha 6</t>
  </si>
  <si>
    <t>Fecha 7</t>
  </si>
  <si>
    <t>Fecha 8</t>
  </si>
  <si>
    <t>Fecha 9</t>
  </si>
  <si>
    <t>Fecha 10</t>
  </si>
  <si>
    <t>Fecha 11</t>
  </si>
  <si>
    <t>Fecha 12</t>
  </si>
  <si>
    <t>Observaciones</t>
  </si>
  <si>
    <t>Modo</t>
  </si>
  <si>
    <t>Meses</t>
  </si>
  <si>
    <t>Semana del mes</t>
  </si>
  <si>
    <t>Error</t>
  </si>
  <si>
    <t>N° fechas</t>
  </si>
  <si>
    <t>Fechas en festivo</t>
  </si>
  <si>
    <t>Lista fechas</t>
  </si>
  <si>
    <t>Descripción</t>
  </si>
  <si>
    <t>Festival de Música Andina</t>
  </si>
  <si>
    <t>Cultura</t>
  </si>
  <si>
    <t>Ubaté</t>
  </si>
  <si>
    <t>Auditorio Seccional Ubaté</t>
  </si>
  <si>
    <t>Festival de Tunas</t>
  </si>
  <si>
    <t>Facatativá</t>
  </si>
  <si>
    <t>Auditorio Extensión Facatativá</t>
  </si>
  <si>
    <t>Comité Curricular Ingeniería</t>
  </si>
  <si>
    <t>Comité</t>
  </si>
  <si>
    <t>Fusagasugá</t>
  </si>
  <si>
    <t>Sala de juntas Facultad</t>
  </si>
  <si>
    <t>Cada mes</t>
  </si>
  <si>
    <t>Reunión de coordinadores</t>
  </si>
  <si>
    <t>Reunión</t>
  </si>
  <si>
    <t>Oficina Dirección</t>
  </si>
  <si>
    <t>Cada semana</t>
  </si>
  <si>
    <t>Consejo de Facultad</t>
  </si>
  <si>
    <t>Consejo</t>
  </si>
  <si>
    <t>Sala de juntas</t>
  </si>
  <si>
    <t>En fechas específicas</t>
  </si>
  <si>
    <t>Campaña de sensibilización en equidad de género</t>
  </si>
  <si>
    <t>Equidad y diversidad</t>
  </si>
  <si>
    <t>Todas las sedes</t>
  </si>
  <si>
    <t>Cada sede</t>
  </si>
  <si>
    <t>Ejemplos ilustrativos: así se ve cada caso y lo que muestra «✔ Así quedó».</t>
  </si>
  <si>
    <t>Categoría</t>
  </si>
  <si>
    <t>Sede</t>
  </si>
  <si>
    <t>¿Se repite?</t>
  </si>
  <si>
    <t>Unidad Líder</t>
  </si>
  <si>
    <t>Festivos Colombia 2026-2028 (Ley 51 de 1983)</t>
  </si>
  <si>
    <t>Días 0-730 (auxiliar)</t>
  </si>
  <si>
    <t>No</t>
  </si>
  <si>
    <t>Vicerrectoría Académica</t>
  </si>
  <si>
    <t>Chía</t>
  </si>
  <si>
    <t>Vicerrectoría Administrativa y Financiera</t>
  </si>
  <si>
    <t>Comisión</t>
  </si>
  <si>
    <t>Cada 15 días</t>
  </si>
  <si>
    <t>Secretaría General</t>
  </si>
  <si>
    <t>Girardot</t>
  </si>
  <si>
    <t>Mesa de trabajo</t>
  </si>
  <si>
    <t>Soacha</t>
  </si>
  <si>
    <t>Cada 2 meses</t>
  </si>
  <si>
    <t>Capacitación / Taller</t>
  </si>
  <si>
    <t>Cada 3 meses</t>
  </si>
  <si>
    <t>Seminario / Conferencia / Foro</t>
  </si>
  <si>
    <t>Zipaquirá</t>
  </si>
  <si>
    <t>Cada 6 meses</t>
  </si>
  <si>
    <t>Encuentro</t>
  </si>
  <si>
    <t>Jornada / Conmemoración</t>
  </si>
  <si>
    <t>Deporte</t>
  </si>
  <si>
    <t>Salud y bienestar</t>
  </si>
  <si>
    <t>Proceso electoral</t>
  </si>
  <si>
    <t>Registro, admisiones y grados</t>
  </si>
  <si>
    <t>Auditoría / Control</t>
  </si>
  <si>
    <t>Actividad académica</t>
  </si>
  <si>
    <t>Actividad administrativa</t>
  </si>
  <si>
    <t>Otro</t>
  </si>
  <si>
    <t>Bogotá D.C.</t>
  </si>
  <si>
    <t>Calendario</t>
  </si>
  <si>
    <t>Académico</t>
  </si>
  <si>
    <t>Administrativo</t>
  </si>
  <si>
    <t>Calendario principal *</t>
  </si>
  <si>
    <t>Subcategoría
(opcional)</t>
  </si>
  <si>
    <t>Responsable
(vacío = el área)</t>
  </si>
  <si>
    <t>Calendario
(vacío = el del área)</t>
  </si>
  <si>
    <t>Encuentros culturales territorio regional</t>
  </si>
  <si>
    <t>Bienestar Universitario - Ubaté</t>
  </si>
  <si>
    <t>Comité curricular</t>
  </si>
  <si>
    <t>Facultad de Ingeniería</t>
  </si>
  <si>
    <t>Prevención de violencias basadas en género</t>
  </si>
  <si>
    <t>Bienestar Universitario - Equidad y Diversidad</t>
  </si>
  <si>
    <t>•  «Responsable» y «Calendario» vacíos toman los de «1. Datos del área». Escriba el responsable solo si la actividad es de otro programa u oficina (ej. «Programa de Música»): el nombre de la dependencia, no de una persona.</t>
  </si>
  <si>
    <t>•  «Calendario»: elija si la actividad va en el calendario Académico o en el Administrativo.</t>
  </si>
  <si>
    <t>•  «Subcategoría» es opcional: la línea, programa o serie a la que pertenece la actividad (ej. «Encuentros deportivos territorio regional»).</t>
  </si>
  <si>
    <t>Áreas (sugeridas)</t>
  </si>
  <si>
    <t>Dirección de Bienestar Universitario</t>
  </si>
  <si>
    <t>Dirección de Control Interno</t>
  </si>
  <si>
    <t>Dirección de Interacción Social Universitaria</t>
  </si>
  <si>
    <t>Dirección de Planeación Institucional</t>
  </si>
  <si>
    <t>Dirección de Sistemas y Tecnología</t>
  </si>
  <si>
    <t>Dirección de Talento Humano</t>
  </si>
  <si>
    <t>Dirección Financiera</t>
  </si>
  <si>
    <t>Dirección Jurídica</t>
  </si>
  <si>
    <t>Oficina Asesora de Comunicaciones</t>
  </si>
  <si>
    <t>Oficina de Admisiones y Registro</t>
  </si>
  <si>
    <t>Oficina de Archivo y Correspondencia</t>
  </si>
  <si>
    <t>Oficina de Atención al Ciudadano</t>
  </si>
  <si>
    <t>Oficina de Compras</t>
  </si>
  <si>
    <t>Oficina de Contabilidad</t>
  </si>
  <si>
    <t>Oficina de Graduados</t>
  </si>
  <si>
    <t>Oficina de Presupuesto</t>
  </si>
  <si>
    <t>Oficina de Recursos Físicos</t>
  </si>
  <si>
    <t>Oficina de Seguridad y Salud en el Trabajo</t>
  </si>
  <si>
    <t>Sistema de Gestión Ambiental</t>
  </si>
  <si>
    <t>Sistema de Gestión de Calidad</t>
  </si>
  <si>
    <t>Sistema de Gestión de Seguridad de la Información</t>
  </si>
  <si>
    <t>Facultad de Ciencias Administrativas, Económicas y Contables</t>
  </si>
  <si>
    <t>Facultad de Ciencias Agropecuarias</t>
  </si>
  <si>
    <t>Facultad de Ciencias de la Salud</t>
  </si>
  <si>
    <t>Facultad de Ciencias Sociales, Humanidades y Ciencias Políticas</t>
  </si>
  <si>
    <t>Facultad de Educación</t>
  </si>
  <si>
    <t>Programa de Administración de Empresas</t>
  </si>
  <si>
    <t>Programa de Ciencias del Deporte y la Educación Física</t>
  </si>
  <si>
    <t>Programa de Contaduría Pública</t>
  </si>
  <si>
    <t>Programa de Enfermería</t>
  </si>
  <si>
    <t>Programa de Ingeniería Agronómica</t>
  </si>
  <si>
    <t>Programa de Ingeniería Ambiental</t>
  </si>
  <si>
    <t>Programa de Ingeniería de Sistemas y Computación</t>
  </si>
  <si>
    <t>Programa de Ingeniería de Software</t>
  </si>
  <si>
    <t>Programa de Ingeniería Electrónica</t>
  </si>
  <si>
    <t>Programa de Ingeniería Industrial</t>
  </si>
  <si>
    <t>Programa de Ingeniería Mecatrónica</t>
  </si>
  <si>
    <t>Programa de Licenciatura en Educación Física</t>
  </si>
  <si>
    <t>Programa de Medicina Veterinaria</t>
  </si>
  <si>
    <t>Programa de Música</t>
  </si>
  <si>
    <t>Programa de Psicología</t>
  </si>
  <si>
    <t>Programa de Tecnología en Desarrollo de Software</t>
  </si>
  <si>
    <t>Programa de Zootecnia</t>
  </si>
  <si>
    <t>Bienestar Universitario - Chía</t>
  </si>
  <si>
    <t>Bienestar Universitario - Facatativá</t>
  </si>
  <si>
    <t>Bienestar Universitario - Fusagasugá</t>
  </si>
  <si>
    <t>Bienestar Universitario - Girardot</t>
  </si>
  <si>
    <t>Bienestar Universitario - Soacha</t>
  </si>
  <si>
    <t>Bienestar Universitario - Zipaquirá</t>
  </si>
  <si>
    <t>Dirección Administrativa - Seccional Girardot</t>
  </si>
  <si>
    <t>Dirección Administrativa - Seccional Ubaté</t>
  </si>
  <si>
    <t>Dirección Administrativa - Extensión Chía</t>
  </si>
  <si>
    <t>Dirección Administrativa - Extensión Facatativá</t>
  </si>
  <si>
    <t>Dirección Administrativa - Extensión Soacha</t>
  </si>
  <si>
    <t>Dirección Administrativa - Extensión Zipaquirá</t>
  </si>
  <si>
    <t>•  «Área o dependencia» y «Responsable»: elija el nombre de la lista. Si no está, escriba el nombre oficial completo (siempre igual), no siglas ni nombres de personas.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</si>
</sst>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6"/>
      <color rgb="FF1F4E79"/>
      <name val="Arial"/>
    </font>
    <font>
      <i/>
      <sz val="9"/>
      <color rgb="FF595959"/>
      <name val="Arial"/>
    </font>
    <font>
      <b/>
      <sz val="12"/>
      <color rgb="FF1F4E79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EDEDED"/>
      </patternFill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2E75B6"/>
      </patternFill>
    </fill>
    <fill>
      <patternFill patternType="solid">
        <fgColor rgb="FFEAF2FA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6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/>
    <xf numFmtId="0" fontId="2" fillId="7" borderId="1" xfId="0" applyFont="1" applyFill="1" applyBorder="1"/>
    <xf numFmtId="0" fontId="2" fillId="3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2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1" xfId="0" applyFont="1" applyBorder="1"/>
    <xf numFmtId="0" fontId="1" fillId="3" borderId="1" xfId="0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vertical="top" wrapText="1"/>
      <protection locked="0"/>
    </xf>
    <xf numFmtId="165" fontId="2" fillId="2" borderId="1" xfId="0" applyNumberFormat="1" applyFont="1" applyFill="1" applyBorder="1" applyAlignment="1" applyProtection="1">
      <alignment vertical="top" wrapText="1"/>
      <protection locked="0"/>
    </xf>
    <xf numFmtId="164" fontId="2" fillId="2" borderId="1" xfId="0" applyNumberFormat="1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>
      <alignment vertical="top" wrapText="1"/>
    </xf>
    <xf numFmtId="164" fontId="2" fillId="7" borderId="1" xfId="0" applyNumberFormat="1" applyFont="1" applyFill="1" applyBorder="1" applyAlignment="1" applyProtection="1">
      <alignment vertical="top" wrapText="1"/>
      <protection locked="0"/>
    </xf>
    <xf numFmtId="0" fontId="2" fillId="2" borderId="1" xfId="0" applyFont="1" applyFill="1" applyBorder="1" applyAlignment="1">
      <alignment vertical="top" wrapText="1"/>
    </xf>
    <xf numFmtId="165" fontId="2" fillId="2" borderId="1" xfId="0" applyNumberFormat="1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164" fontId="2" fillId="7" borderId="1" xfId="0" applyNumberFormat="1" applyFont="1" applyFill="1" applyBorder="1" applyAlignment="1">
      <alignment vertical="top" wrapText="1"/>
    </xf>
    <xf numFmtId="164" fontId="2" fillId="0" borderId="0" xfId="0" applyNumberFormat="1" applyFont="1"/>
    <xf numFmtId="0" fontId="7" fillId="0" borderId="0" xfId="0" applyFont="1"/>
    <xf numFmtId="0" fontId="2" fillId="2" borderId="1" xfId="0" applyFont="1" applyFill="1" applyBorder="1" applyAlignment="1" applyProtection="1">
      <alignment vertical="top" wrapText="1"/>
    </xf>
  </cellXfs>
  <cellStyles count="1">
    <cellStyle name="Normal" xfId="0" builtinId="0"/>
  </cellStyles>
  <dxfs count="8"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7F6000"/>
        <name val="Arial"/>
      </font>
      <fill>
        <patternFill patternType="solid">
          <fgColor rgb="FFFFE699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7F6000"/>
        <name val="Arial"/>
      </font>
      <fill>
        <patternFill patternType="solid">
          <fgColor rgb="FFFFE699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showGridLines="0" tabSelected="1" workbookViewId="0"/>
  </sheetViews>
  <sheetFormatPr baseColWidth="10" defaultColWidth="9.140625" defaultRowHeight="15" x14ac:dyDescent="0.25"/>
  <cols>
    <col min="1" max="1" width="30" customWidth="1"/>
    <col min="2" max="2" width="92" customWidth="1"/>
  </cols>
  <sheetData>
    <row r="1" spans="1:2" ht="20.25" x14ac:dyDescent="0.3">
      <c r="A1" s="1" t="s">
        <v>0</v>
      </c>
    </row>
    <row r="2" spans="1:2" x14ac:dyDescent="0.25">
      <c r="A2" s="2" t="s">
        <v>1</v>
      </c>
    </row>
    <row r="4" spans="1:2" ht="15.75" x14ac:dyDescent="0.25">
      <c r="A4" s="3" t="s">
        <v>2</v>
      </c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9" spans="1:2" ht="15.75" x14ac:dyDescent="0.25">
      <c r="A9" s="3" t="s">
        <v>9</v>
      </c>
    </row>
    <row r="10" spans="1:2" x14ac:dyDescent="0.25">
      <c r="A10" s="6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7" t="s">
        <v>14</v>
      </c>
      <c r="B12" s="8" t="s">
        <v>15</v>
      </c>
    </row>
    <row r="13" spans="1:2" ht="25.5" x14ac:dyDescent="0.25">
      <c r="A13" s="7" t="s">
        <v>16</v>
      </c>
      <c r="B13" s="8" t="s">
        <v>17</v>
      </c>
    </row>
    <row r="14" spans="1:2" ht="25.5" x14ac:dyDescent="0.25">
      <c r="A14" s="7" t="s">
        <v>18</v>
      </c>
      <c r="B14" s="8" t="s">
        <v>19</v>
      </c>
    </row>
    <row r="16" spans="1:2" ht="15.75" x14ac:dyDescent="0.25">
      <c r="A16" s="3" t="s">
        <v>20</v>
      </c>
    </row>
    <row r="17" spans="1:2" ht="25.5" x14ac:dyDescent="0.25">
      <c r="B17" s="9" t="s">
        <v>21</v>
      </c>
    </row>
    <row r="18" spans="1:2" x14ac:dyDescent="0.25">
      <c r="B18" s="9" t="s">
        <v>22</v>
      </c>
    </row>
    <row r="19" spans="1:2" x14ac:dyDescent="0.25">
      <c r="B19" s="9" t="s">
        <v>23</v>
      </c>
    </row>
    <row r="20" spans="1:2" ht="38.25" x14ac:dyDescent="0.25">
      <c r="B20" s="9" t="s">
        <v>152</v>
      </c>
    </row>
    <row r="21" spans="1:2" x14ac:dyDescent="0.25">
      <c r="B21" s="9" t="s">
        <v>153</v>
      </c>
    </row>
    <row r="22" spans="1:2" ht="25.5" x14ac:dyDescent="0.25">
      <c r="B22" s="9" t="s">
        <v>154</v>
      </c>
    </row>
    <row r="23" spans="1:2" ht="25.5" x14ac:dyDescent="0.25">
      <c r="B23" s="9" t="s">
        <v>211</v>
      </c>
    </row>
    <row r="24" spans="1:2" x14ac:dyDescent="0.25">
      <c r="B24" s="9" t="s">
        <v>24</v>
      </c>
    </row>
    <row r="25" spans="1:2" x14ac:dyDescent="0.25">
      <c r="B25" s="9" t="s">
        <v>25</v>
      </c>
    </row>
    <row r="26" spans="1:2" x14ac:dyDescent="0.25">
      <c r="B26" s="9" t="s">
        <v>26</v>
      </c>
    </row>
    <row r="27" spans="1:2" x14ac:dyDescent="0.25">
      <c r="B27" s="9" t="s">
        <v>27</v>
      </c>
    </row>
    <row r="29" spans="1:2" ht="15.75" x14ac:dyDescent="0.25">
      <c r="A29" s="3" t="s">
        <v>28</v>
      </c>
    </row>
    <row r="30" spans="1:2" x14ac:dyDescent="0.25">
      <c r="A30" s="10" t="s">
        <v>29</v>
      </c>
    </row>
    <row r="31" spans="1:2" x14ac:dyDescent="0.25">
      <c r="A31" s="11" t="s">
        <v>30</v>
      </c>
    </row>
    <row r="32" spans="1:2" x14ac:dyDescent="0.25">
      <c r="A32" s="12" t="s">
        <v>31</v>
      </c>
    </row>
    <row r="33" spans="1:1" x14ac:dyDescent="0.25">
      <c r="A33" s="13" t="s">
        <v>32</v>
      </c>
    </row>
    <row r="34" spans="1:1" x14ac:dyDescent="0.25">
      <c r="A34" s="14" t="s">
        <v>33</v>
      </c>
    </row>
    <row r="35" spans="1:1" x14ac:dyDescent="0.25">
      <c r="A35" s="15" t="s">
        <v>34</v>
      </c>
    </row>
  </sheetData>
  <sheetProtection sheet="1" objects="1" scenarios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B18"/>
  <sheetViews>
    <sheetView showGridLines="0" workbookViewId="0"/>
  </sheetViews>
  <sheetFormatPr baseColWidth="10" defaultColWidth="9.140625" defaultRowHeight="15" x14ac:dyDescent="0.25"/>
  <cols>
    <col min="1" max="1" width="42" customWidth="1"/>
    <col min="2" max="2" width="48" customWidth="1"/>
  </cols>
  <sheetData>
    <row r="1" spans="1:2" ht="20.25" x14ac:dyDescent="0.3">
      <c r="A1" s="1" t="s">
        <v>35</v>
      </c>
    </row>
    <row r="2" spans="1:2" x14ac:dyDescent="0.25">
      <c r="A2" s="2" t="s">
        <v>36</v>
      </c>
    </row>
    <row r="4" spans="1:2" x14ac:dyDescent="0.25">
      <c r="A4" s="7" t="s">
        <v>37</v>
      </c>
      <c r="B4" s="16"/>
    </row>
    <row r="5" spans="1:2" x14ac:dyDescent="0.25">
      <c r="A5" s="7" t="s">
        <v>38</v>
      </c>
      <c r="B5" s="16"/>
    </row>
    <row r="6" spans="1:2" x14ac:dyDescent="0.25">
      <c r="A6" s="7" t="s">
        <v>39</v>
      </c>
      <c r="B6" s="16"/>
    </row>
    <row r="7" spans="1:2" x14ac:dyDescent="0.25">
      <c r="A7" s="7" t="s">
        <v>142</v>
      </c>
      <c r="B7" s="16"/>
    </row>
    <row r="8" spans="1:2" x14ac:dyDescent="0.25">
      <c r="A8" s="7" t="s">
        <v>40</v>
      </c>
      <c r="B8" s="16"/>
    </row>
    <row r="9" spans="1:2" x14ac:dyDescent="0.25">
      <c r="A9" s="7" t="s">
        <v>41</v>
      </c>
      <c r="B9" s="16"/>
    </row>
    <row r="10" spans="1:2" x14ac:dyDescent="0.25">
      <c r="A10" s="7" t="s">
        <v>42</v>
      </c>
      <c r="B10" s="16"/>
    </row>
    <row r="11" spans="1:2" x14ac:dyDescent="0.25">
      <c r="A11" s="7" t="s">
        <v>43</v>
      </c>
      <c r="B11" s="17"/>
    </row>
    <row r="12" spans="1:2" ht="25.5" x14ac:dyDescent="0.25">
      <c r="A12" s="7" t="s">
        <v>44</v>
      </c>
      <c r="B12" s="16"/>
    </row>
    <row r="14" spans="1:2" ht="15.75" x14ac:dyDescent="0.25">
      <c r="A14" s="3" t="s">
        <v>45</v>
      </c>
    </row>
    <row r="15" spans="1:2" x14ac:dyDescent="0.25">
      <c r="A15" s="18" t="s">
        <v>46</v>
      </c>
      <c r="B15" s="19">
        <f>COUNTIF('2. Actividades'!$AB$2:$AB$301,"?*")</f>
        <v>0</v>
      </c>
    </row>
    <row r="16" spans="1:2" x14ac:dyDescent="0.25">
      <c r="A16" s="18" t="s">
        <v>47</v>
      </c>
      <c r="B16" s="19">
        <f>COUNTIF('2. Actividades'!$M$2:$M$301,"⚠*")</f>
        <v>0</v>
      </c>
    </row>
    <row r="17" spans="1:2" x14ac:dyDescent="0.25">
      <c r="A17" s="18" t="s">
        <v>48</v>
      </c>
      <c r="B17" s="19">
        <f>SUM('2. Actividades'!$AF$2:$AF$301)</f>
        <v>0</v>
      </c>
    </row>
    <row r="18" spans="1:2" x14ac:dyDescent="0.25">
      <c r="A18" s="18" t="s">
        <v>49</v>
      </c>
      <c r="B18" s="19" t="str">
        <f>IF(COUNTBLANK(B4:B9)+COUNTBLANK(B12)&gt;0,"Corrija: complete los datos marcados con * en esta hoja",IF(B15=0,"Aún no hay actividades",IF(B16&gt;0,"Corrija las filas marcadas con ⚠ en rojo","✔ Listo para enviar")))</f>
        <v>Corrija: complete los datos marcados con * en esta hoja</v>
      </c>
    </row>
  </sheetData>
  <sheetProtection sheet="1" objects="1" scenarios="1"/>
  <conditionalFormatting sqref="B18">
    <cfRule type="expression" dxfId="7" priority="1">
      <formula>LEFT($B$18,1)="✔"</formula>
    </cfRule>
    <cfRule type="expression" dxfId="6" priority="2">
      <formula>LEFT($B$18,7)="Corrija"</formula>
    </cfRule>
  </conditionalFormatting>
  <dataValidations count="4">
    <dataValidation type="list" allowBlank="1" showErrorMessage="1" errorTitle="Valor no permitido" error="Elija un valor de la lista." sqref="B5" xr:uid="{00000000-0002-0000-0100-000000000000}">
      <formula1>Lista_UnidadLider</formula1>
    </dataValidation>
    <dataValidation type="list" allowBlank="1" showErrorMessage="1" errorTitle="Valor no permitido" error="Elija un valor de la lista." sqref="B6" xr:uid="{00000000-0002-0000-0100-000001000000}">
      <formula1>Lista_Sede</formula1>
    </dataValidation>
    <dataValidation type="list" allowBlank="1" showInputMessage="1" showErrorMessage="1" errorTitle="Valor no permitido" error="Elija un valor de la lista." sqref="B7" xr:uid="{CCFF0DD5-E816-4518-B2DB-38DA8946B272}">
      <formula1>Lista_Calendario</formula1>
    </dataValidation>
    <dataValidation type="list" errorStyle="information" allowBlank="1" showInputMessage="1" showErrorMessage="1" errorTitle="Área que no está en la lista" error="Si su área no está en la lista, escriba su nombre oficial completo y pulse Aceptar." sqref="B4" xr:uid="{BE27FB37-78E8-4293-83BF-B42BCD89768B}">
      <formula1>Lista_Areas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AI3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8" customWidth="1"/>
    <col min="2" max="2" width="22" customWidth="1"/>
    <col min="3" max="3" width="26.7109375" customWidth="1"/>
    <col min="4" max="4" width="28.7109375" customWidth="1"/>
    <col min="5" max="5" width="17.7109375" customWidth="1"/>
    <col min="6" max="6" width="16" customWidth="1"/>
    <col min="7" max="7" width="24" customWidth="1"/>
    <col min="8" max="9" width="10" customWidth="1"/>
    <col min="10" max="10" width="17" customWidth="1"/>
    <col min="11" max="12" width="12" customWidth="1"/>
    <col min="13" max="13" width="52" customWidth="1"/>
    <col min="14" max="25" width="11" customWidth="1"/>
    <col min="26" max="26" width="32" customWidth="1"/>
    <col min="28" max="35" width="13" hidden="1" customWidth="1"/>
  </cols>
  <sheetData>
    <row r="1" spans="1:35" ht="42" customHeight="1" x14ac:dyDescent="0.25">
      <c r="A1" s="20" t="s">
        <v>50</v>
      </c>
      <c r="B1" s="20" t="s">
        <v>51</v>
      </c>
      <c r="C1" s="20" t="s">
        <v>143</v>
      </c>
      <c r="D1" s="20" t="s">
        <v>144</v>
      </c>
      <c r="E1" s="20" t="s">
        <v>145</v>
      </c>
      <c r="F1" s="20" t="s">
        <v>52</v>
      </c>
      <c r="G1" s="20" t="s">
        <v>53</v>
      </c>
      <c r="H1" s="20" t="s">
        <v>54</v>
      </c>
      <c r="I1" s="20" t="s">
        <v>55</v>
      </c>
      <c r="J1" s="20" t="s">
        <v>56</v>
      </c>
      <c r="K1" s="20" t="s">
        <v>57</v>
      </c>
      <c r="L1" s="20" t="s">
        <v>58</v>
      </c>
      <c r="M1" s="21" t="s">
        <v>59</v>
      </c>
      <c r="N1" s="22" t="s">
        <v>60</v>
      </c>
      <c r="O1" s="22" t="s">
        <v>61</v>
      </c>
      <c r="P1" s="22" t="s">
        <v>62</v>
      </c>
      <c r="Q1" s="22" t="s">
        <v>63</v>
      </c>
      <c r="R1" s="22" t="s">
        <v>64</v>
      </c>
      <c r="S1" s="22" t="s">
        <v>65</v>
      </c>
      <c r="T1" s="22" t="s">
        <v>66</v>
      </c>
      <c r="U1" s="22" t="s">
        <v>67</v>
      </c>
      <c r="V1" s="22" t="s">
        <v>68</v>
      </c>
      <c r="W1" s="22" t="s">
        <v>69</v>
      </c>
      <c r="X1" s="22" t="s">
        <v>70</v>
      </c>
      <c r="Y1" s="22" t="s">
        <v>71</v>
      </c>
      <c r="Z1" s="20" t="s">
        <v>72</v>
      </c>
      <c r="AB1" s="4" t="s">
        <v>73</v>
      </c>
      <c r="AC1" s="4" t="s">
        <v>74</v>
      </c>
      <c r="AD1" s="4" t="s">
        <v>75</v>
      </c>
      <c r="AE1" s="4" t="s">
        <v>76</v>
      </c>
      <c r="AF1" s="4" t="s">
        <v>77</v>
      </c>
      <c r="AG1" s="4" t="s">
        <v>78</v>
      </c>
      <c r="AH1" s="4" t="s">
        <v>79</v>
      </c>
      <c r="AI1" s="4" t="s">
        <v>80</v>
      </c>
    </row>
    <row r="2" spans="1:35" x14ac:dyDescent="0.25">
      <c r="A2" s="23"/>
      <c r="B2" s="23"/>
      <c r="C2" s="23"/>
      <c r="D2" s="23"/>
      <c r="E2" s="23"/>
      <c r="F2" s="23"/>
      <c r="G2" s="23"/>
      <c r="H2" s="24"/>
      <c r="I2" s="24"/>
      <c r="J2" s="23"/>
      <c r="K2" s="25"/>
      <c r="L2" s="25"/>
      <c r="M2" s="26" t="str">
        <f t="shared" ref="M2:M65" si="0">IF(AB2="","",IF(AE2&lt;&gt;"","⚠ "&amp;AE2,"✔ "&amp;AI2&amp;IF(AG2&gt;0," · ⚠ "&amp;AG2&amp;IF(AG2=1," fecha cae"," fechas caen")&amp;" en festivo"&amp;IF(OR(AB2="Un día",AB2="Fechas específicas"),": revise la fecha",": se pasará al día hábil siguiente"),"")))</f>
        <v/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3"/>
      <c r="AB2" t="str">
        <f t="shared" ref="AB2:AB65" si="1">IF(COUNTA(A2:L2,N2:Y2)=0,"",IF(OR(J2="En fechas específicas",AND(OR(J2="",J2="No"),K2="",COUNT(N2:Y2)&gt;0)),"Fechas específicas",IF(OR(J2="",J2="No"),IF(OR(L2="",L2=K2),"Un día","Varios días"),J2)))</f>
        <v/>
      </c>
      <c r="AC2">
        <f t="shared" ref="AC2:AC65" si="2">IF(AB2="Cada mes",1,IF(AB2="Cada 2 meses",2,IF(AB2="Cada 3 meses",3,IF(AB2="Cada 6 meses",6,0))))</f>
        <v>0</v>
      </c>
      <c r="AD2">
        <f t="shared" ref="AD2:AD65" si="3">IF(ISNUMBER(K2),INT((DAY(K2)-1)/7)+1,0)</f>
        <v>0</v>
      </c>
      <c r="AE2" t="str">
        <f t="shared" ref="AE2:AE65" si="4">IF(AB2="","",IF(A2="","Falta el nombre de la actividad",IF(B2="","Falta la categoría",IF(COUNTIF(Lista_Categoria,B2)=0,"Elija la categoría de la lista",IF(AND(F2="",SedePrincipal=""),"Falta la sede: elíjala aquí o en «1. Datos del área»",IF(AND(F2&lt;&gt;"",COUNTIF(Lista_Sede,F2)=0),"Elija la sede de la lista",IF(AND(E2="",CalendarioPrincipal=""),"Falta el calendario (Académico o Administrativo): elíjalo aquí o en «1. Datos del área»",IF(AND(E2&lt;&gt;"",COUNTIF(Lista_Calendario,E2)=0),"Elija el calendario de la lista",IF(G2="","Falta el lugar",IF(OR(AND(H2&lt;&gt;"",NOT(ISNUMBER(H2))),AND(I2&lt;&gt;"",NOT(ISNUMBER(I2)))),"Hora no válida: use hh:mm (ej. 14:30)",IF(AND(ISNUMBER(H2),ISNUMBER(I2),I2&lt;H2),"La hora fin es antes de la hora inicio",IF(AND(J2&lt;&gt;"",COUNTIF(Lista_Repite,J2)=0),"Elija una opción de la lista «¿Se repite?»",IF(AB2="Fechas específicas",IF(COUNTA(N2:Y2)&lt;&gt;COUNT(N2:Y2),"Alguna fecha de Fecha 1 a Fecha 12 no es válida: use dd/mm/aaaa",IF(COUNT(N2:Y2)=0,"Escriba las fechas en Fecha 1, Fecha 2…","")),IF(COUNTA(N2:Y2)&gt;0,"Escribió fechas en Fecha 1…12: elija «En fechas específicas» o bórrelas",IF(K2="","Falta la fecha en «Desde»",IF(NOT(ISNUMBER(K2)),"La fecha «Desde» no es válida: use dd/mm/aaaa",IF(AND(L2&lt;&gt;"",NOT(ISNUMBER(L2))),"La fecha «Hasta» no es válida: use dd/mm/aaaa",IF(AND(ISNUMBER(L2),L2&lt;K2),"«Hasta» es antes de «Desde»",IF(AND(AB2&lt;&gt;"Un día",AB2&lt;&gt;"Varios días",L2=""),"Falta «Hasta»: la última fecha en que se repite",IF(AND(ISNUMBER(L2),L2-K2&gt;730),"El periodo no puede pasar de 2 años",""))))))))))))))))))))</f>
        <v/>
      </c>
      <c r="AF2" t="str">
        <f t="shared" ref="AF2:AF65" si="5">IF(OR(AB2="",AE2&lt;&gt;""),"",IF(AB2="Fechas específicas",COUNT(N2:Y2),IF(OR(AB2="Un día",AB2="Varios días"),1,SUMPRODUCT((Dias&lt;=L2-K2)*((AB2="Cada semana")*(MOD(Dias,7)=0)+(AB2="Cada 15 días")*(MOD(Dias,14)=0)+(AC2&gt;0)*(WEEKDAY(K2+Dias)=WEEKDAY(K2))*((AD2=5)*(MONTH(K2+Dias+7)&lt;&gt;MONTH(K2+Dias))+(AD2&lt;5)*(INT((DAY(K2+Dias)-1)/7)+1=AD2))*(MOD((YEAR(K2+Dias)-YEAR(K2))*12+MONTH(K2+Dias)-MONTH(K2),MAX(AC2,1))=0))))))</f>
        <v/>
      </c>
      <c r="AG2">
        <f t="shared" ref="AG2:AG65" si="6">IF(AF2="",0,IF(AB2="Fechas específicas",SUMPRODUCT(COUNTIF(Festivos,N2:Y2)),IF(AB2="Un día",COUNTIF(Festivos,K2),IF(AB2="Varios días",0,SUMPRODUCT((Dias&lt;=L2-K2)*((AB2="Cada semana")*(MOD(Dias,7)=0)+(AB2="Cada 15 días")*(MOD(Dias,14)=0)+(AC2&gt;0)*(WEEKDAY(K2+Dias)=WEEKDAY(K2))*((AD2=5)*(MONTH(K2+Dias+7)&lt;&gt;MONTH(K2+Dias))+(AD2&lt;5)*(INT((DAY(K2+Dias)-1)/7)+1=AD2))*(MOD((YEAR(K2+Dias)-YEAR(K2))*12+MONTH(K2+Dias)-MONTH(K2),MAX(AC2,1))=0))*COUNTIF(Festivos,K2+Dias))))))</f>
        <v>0</v>
      </c>
      <c r="AH2" t="str">
        <f t="shared" ref="AH2:AH65" si="7">IF(AB2&lt;&gt;"Fechas específicas","",IF(ISNUMBER(N2),DAY(N2)&amp;" "&amp;CHOOSE(MONTH(N2),"ene","feb","mar","abr","may","jun","jul","ago","sep","oct","nov","dic")&amp;", ","")&amp;IF(ISNUMBER(O2),DAY(O2)&amp;" "&amp;CHOOSE(MONTH(O2),"ene","feb","mar","abr","may","jun","jul","ago","sep","oct","nov","dic")&amp;", ","")&amp;IF(ISNUMBER(P2),DAY(P2)&amp;" "&amp;CHOOSE(MONTH(P2),"ene","feb","mar","abr","may","jun","jul","ago","sep","oct","nov","dic")&amp;", ","")&amp;IF(ISNUMBER(Q2),DAY(Q2)&amp;" "&amp;CHOOSE(MONTH(Q2),"ene","feb","mar","abr","may","jun","jul","ago","sep","oct","nov","dic")&amp;", ","")&amp;IF(ISNUMBER(R2),DAY(R2)&amp;" "&amp;CHOOSE(MONTH(R2),"ene","feb","mar","abr","may","jun","jul","ago","sep","oct","nov","dic")&amp;", ","")&amp;IF(ISNUMBER(S2),DAY(S2)&amp;" "&amp;CHOOSE(MONTH(S2),"ene","feb","mar","abr","may","jun","jul","ago","sep","oct","nov","dic")&amp;", ","")&amp;IF(ISNUMBER(T2),DAY(T2)&amp;" "&amp;CHOOSE(MONTH(T2),"ene","feb","mar","abr","may","jun","jul","ago","sep","oct","nov","dic")&amp;", ","")&amp;IF(ISNUMBER(U2),DAY(U2)&amp;" "&amp;CHOOSE(MONTH(U2),"ene","feb","mar","abr","may","jun","jul","ago","sep","oct","nov","dic")&amp;", ","")&amp;IF(ISNUMBER(V2),DAY(V2)&amp;" "&amp;CHOOSE(MONTH(V2),"ene","feb","mar","abr","may","jun","jul","ago","sep","oct","nov","dic")&amp;", ","")&amp;IF(ISNUMBER(W2),DAY(W2)&amp;" "&amp;CHOOSE(MONTH(W2),"ene","feb","mar","abr","may","jun","jul","ago","sep","oct","nov","dic")&amp;", ","")&amp;IF(ISNUMBER(X2),DAY(X2)&amp;" "&amp;CHOOSE(MONTH(X2),"ene","feb","mar","abr","may","jun","jul","ago","sep","oct","nov","dic")&amp;", ","")&amp;IF(ISNUMBER(Y2),DAY(Y2)&amp;" "&amp;CHOOSE(MONTH(Y2),"ene","feb","mar","abr","may","jun","jul","ago","sep","oct","nov","dic")&amp;", ",""))</f>
        <v/>
      </c>
      <c r="AI2" t="str">
        <f t="shared" ref="AI2:AI65" si="8">IF(OR(AB2="",AE2&lt;&gt;""),"",IF(AB2="Un día","Un día: "&amp;CHOOSE(WEEKDAY(K2,2),"lunes","martes","miércoles","jueves","viernes","sábado","domingo")&amp;" "&amp;TEXT(DAY(K2),"00")&amp;"/"&amp;TEXT(MONTH(K2),"00")&amp;"/"&amp;YEAR(K2),IF(AB2="Varios días","Del "&amp;TEXT(DAY(K2),"00")&amp;"/"&amp;TEXT(MONTH(K2),"00")&amp;"/"&amp;YEAR(K2)&amp;" al "&amp;TEXT(DAY(L2),"00")&amp;"/"&amp;TEXT(MONTH(L2),"00")&amp;"/"&amp;YEAR(L2)&amp;" ("&amp;(L2-K2+1)&amp;" días)",IF(AB2="Fechas específicas",AF2&amp;IF(AF2=1," fecha: "," fechas: ")&amp;LEFT(AH2,LEN(AH2)-2),IF(AB2="Cada semana","Todos los "&amp;CHOOSE(WEEKDAY(K2,2),"lunes","martes","miércoles","jueves","viernes","sábados","domingos"),IF(AB2="Cada 15 días","Cada 15 días ("&amp;CHOOSE(WEEKDAY(K2,2),"lunes","martes","miércoles","jueves","viernes","sábados","domingos")&amp;" de por medio)",CHOOSE(AD2,"Primer","Segundo","Tercer","Cuarto","Último")&amp;" "&amp;CHOOSE(WEEKDAY(K2,2),"lunes","martes","miércoles","jueves","viernes","sábado","domingo")&amp;IF(AC2=1," de cada mes"," cada "&amp;AC2&amp;" meses")))&amp;", del "&amp;TEXT(DAY(K2),"00")&amp;"/"&amp;TEXT(MONTH(K2),"00")&amp;"/"&amp;YEAR(K2)&amp;" al "&amp;TEXT(DAY(L2),"00")&amp;"/"&amp;TEXT(MONTH(L2),"00")&amp;"/"&amp;YEAR(L2)&amp;" · "&amp;AF2&amp;IF(AF2=1," fecha"," fechas")))))</f>
        <v/>
      </c>
    </row>
    <row r="3" spans="1:35" x14ac:dyDescent="0.25">
      <c r="A3" s="23"/>
      <c r="B3" s="23"/>
      <c r="C3" s="23"/>
      <c r="D3" s="23"/>
      <c r="E3" s="23"/>
      <c r="F3" s="23"/>
      <c r="G3" s="23"/>
      <c r="H3" s="24"/>
      <c r="I3" s="24"/>
      <c r="J3" s="23"/>
      <c r="K3" s="25"/>
      <c r="L3" s="25"/>
      <c r="M3" s="26" t="str">
        <f t="shared" si="0"/>
        <v/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3"/>
      <c r="AB3" t="str">
        <f t="shared" si="1"/>
        <v/>
      </c>
      <c r="AC3">
        <f t="shared" si="2"/>
        <v>0</v>
      </c>
      <c r="AD3">
        <f t="shared" si="3"/>
        <v>0</v>
      </c>
      <c r="AE3" t="str">
        <f t="shared" si="4"/>
        <v/>
      </c>
      <c r="AF3" t="str">
        <f t="shared" si="5"/>
        <v/>
      </c>
      <c r="AG3">
        <f t="shared" si="6"/>
        <v>0</v>
      </c>
      <c r="AH3" t="str">
        <f t="shared" si="7"/>
        <v/>
      </c>
      <c r="AI3" t="str">
        <f t="shared" si="8"/>
        <v/>
      </c>
    </row>
    <row r="4" spans="1:35" x14ac:dyDescent="0.25">
      <c r="A4" s="23"/>
      <c r="B4" s="23"/>
      <c r="C4" s="23"/>
      <c r="D4" s="23"/>
      <c r="E4" s="23"/>
      <c r="F4" s="23"/>
      <c r="G4" s="23"/>
      <c r="H4" s="24"/>
      <c r="I4" s="24"/>
      <c r="J4" s="23"/>
      <c r="K4" s="25"/>
      <c r="L4" s="25"/>
      <c r="M4" s="26" t="str">
        <f t="shared" si="0"/>
        <v/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3"/>
      <c r="AB4" t="str">
        <f t="shared" si="1"/>
        <v/>
      </c>
      <c r="AC4">
        <f t="shared" si="2"/>
        <v>0</v>
      </c>
      <c r="AD4">
        <f t="shared" si="3"/>
        <v>0</v>
      </c>
      <c r="AE4" t="str">
        <f t="shared" si="4"/>
        <v/>
      </c>
      <c r="AF4" t="str">
        <f t="shared" si="5"/>
        <v/>
      </c>
      <c r="AG4">
        <f t="shared" si="6"/>
        <v>0</v>
      </c>
      <c r="AH4" t="str">
        <f t="shared" si="7"/>
        <v/>
      </c>
      <c r="AI4" t="str">
        <f t="shared" si="8"/>
        <v/>
      </c>
    </row>
    <row r="5" spans="1:35" x14ac:dyDescent="0.25">
      <c r="A5" s="23"/>
      <c r="B5" s="23"/>
      <c r="C5" s="23"/>
      <c r="D5" s="23"/>
      <c r="E5" s="23"/>
      <c r="F5" s="23"/>
      <c r="G5" s="23"/>
      <c r="H5" s="24"/>
      <c r="I5" s="24"/>
      <c r="J5" s="23"/>
      <c r="K5" s="25"/>
      <c r="L5" s="25"/>
      <c r="M5" s="26" t="str">
        <f t="shared" si="0"/>
        <v/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3"/>
      <c r="AB5" t="str">
        <f t="shared" si="1"/>
        <v/>
      </c>
      <c r="AC5">
        <f t="shared" si="2"/>
        <v>0</v>
      </c>
      <c r="AD5">
        <f t="shared" si="3"/>
        <v>0</v>
      </c>
      <c r="AE5" t="str">
        <f t="shared" si="4"/>
        <v/>
      </c>
      <c r="AF5" t="str">
        <f t="shared" si="5"/>
        <v/>
      </c>
      <c r="AG5">
        <f t="shared" si="6"/>
        <v>0</v>
      </c>
      <c r="AH5" t="str">
        <f t="shared" si="7"/>
        <v/>
      </c>
      <c r="AI5" t="str">
        <f t="shared" si="8"/>
        <v/>
      </c>
    </row>
    <row r="6" spans="1:35" x14ac:dyDescent="0.25">
      <c r="A6" s="23"/>
      <c r="B6" s="23"/>
      <c r="C6" s="23"/>
      <c r="D6" s="23"/>
      <c r="E6" s="23"/>
      <c r="F6" s="23"/>
      <c r="G6" s="23"/>
      <c r="H6" s="24"/>
      <c r="I6" s="24"/>
      <c r="J6" s="23"/>
      <c r="K6" s="25"/>
      <c r="L6" s="25"/>
      <c r="M6" s="26" t="str">
        <f t="shared" si="0"/>
        <v/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3"/>
      <c r="AB6" t="str">
        <f t="shared" si="1"/>
        <v/>
      </c>
      <c r="AC6">
        <f t="shared" si="2"/>
        <v>0</v>
      </c>
      <c r="AD6">
        <f t="shared" si="3"/>
        <v>0</v>
      </c>
      <c r="AE6" t="str">
        <f t="shared" si="4"/>
        <v/>
      </c>
      <c r="AF6" t="str">
        <f t="shared" si="5"/>
        <v/>
      </c>
      <c r="AG6">
        <f t="shared" si="6"/>
        <v>0</v>
      </c>
      <c r="AH6" t="str">
        <f t="shared" si="7"/>
        <v/>
      </c>
      <c r="AI6" t="str">
        <f t="shared" si="8"/>
        <v/>
      </c>
    </row>
    <row r="7" spans="1:35" x14ac:dyDescent="0.25">
      <c r="A7" s="23"/>
      <c r="B7" s="23"/>
      <c r="C7" s="23"/>
      <c r="D7" s="23"/>
      <c r="E7" s="23"/>
      <c r="F7" s="23"/>
      <c r="G7" s="23"/>
      <c r="H7" s="24"/>
      <c r="I7" s="24"/>
      <c r="J7" s="23"/>
      <c r="K7" s="25"/>
      <c r="L7" s="25"/>
      <c r="M7" s="26" t="str">
        <f t="shared" si="0"/>
        <v/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3"/>
      <c r="AB7" t="str">
        <f t="shared" si="1"/>
        <v/>
      </c>
      <c r="AC7">
        <f t="shared" si="2"/>
        <v>0</v>
      </c>
      <c r="AD7">
        <f t="shared" si="3"/>
        <v>0</v>
      </c>
      <c r="AE7" t="str">
        <f t="shared" si="4"/>
        <v/>
      </c>
      <c r="AF7" t="str">
        <f t="shared" si="5"/>
        <v/>
      </c>
      <c r="AG7">
        <f t="shared" si="6"/>
        <v>0</v>
      </c>
      <c r="AH7" t="str">
        <f t="shared" si="7"/>
        <v/>
      </c>
      <c r="AI7" t="str">
        <f t="shared" si="8"/>
        <v/>
      </c>
    </row>
    <row r="8" spans="1:35" x14ac:dyDescent="0.25">
      <c r="A8" s="23"/>
      <c r="B8" s="23"/>
      <c r="C8" s="23"/>
      <c r="D8" s="23"/>
      <c r="E8" s="23"/>
      <c r="F8" s="23"/>
      <c r="G8" s="23"/>
      <c r="H8" s="24"/>
      <c r="I8" s="24"/>
      <c r="J8" s="23"/>
      <c r="K8" s="25"/>
      <c r="L8" s="25"/>
      <c r="M8" s="26" t="str">
        <f t="shared" si="0"/>
        <v/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3"/>
      <c r="AB8" t="str">
        <f t="shared" si="1"/>
        <v/>
      </c>
      <c r="AC8">
        <f t="shared" si="2"/>
        <v>0</v>
      </c>
      <c r="AD8">
        <f t="shared" si="3"/>
        <v>0</v>
      </c>
      <c r="AE8" t="str">
        <f t="shared" si="4"/>
        <v/>
      </c>
      <c r="AF8" t="str">
        <f t="shared" si="5"/>
        <v/>
      </c>
      <c r="AG8">
        <f t="shared" si="6"/>
        <v>0</v>
      </c>
      <c r="AH8" t="str">
        <f t="shared" si="7"/>
        <v/>
      </c>
      <c r="AI8" t="str">
        <f t="shared" si="8"/>
        <v/>
      </c>
    </row>
    <row r="9" spans="1:35" x14ac:dyDescent="0.25">
      <c r="A9" s="23"/>
      <c r="B9" s="23"/>
      <c r="C9" s="23"/>
      <c r="D9" s="23"/>
      <c r="E9" s="23"/>
      <c r="F9" s="23"/>
      <c r="G9" s="23"/>
      <c r="H9" s="24"/>
      <c r="I9" s="24"/>
      <c r="J9" s="23"/>
      <c r="K9" s="25"/>
      <c r="L9" s="25"/>
      <c r="M9" s="26" t="str">
        <f t="shared" si="0"/>
        <v/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3"/>
      <c r="AB9" t="str">
        <f t="shared" si="1"/>
        <v/>
      </c>
      <c r="AC9">
        <f t="shared" si="2"/>
        <v>0</v>
      </c>
      <c r="AD9">
        <f t="shared" si="3"/>
        <v>0</v>
      </c>
      <c r="AE9" t="str">
        <f t="shared" si="4"/>
        <v/>
      </c>
      <c r="AF9" t="str">
        <f t="shared" si="5"/>
        <v/>
      </c>
      <c r="AG9">
        <f t="shared" si="6"/>
        <v>0</v>
      </c>
      <c r="AH9" t="str">
        <f t="shared" si="7"/>
        <v/>
      </c>
      <c r="AI9" t="str">
        <f t="shared" si="8"/>
        <v/>
      </c>
    </row>
    <row r="10" spans="1:35" x14ac:dyDescent="0.25">
      <c r="A10" s="23"/>
      <c r="B10" s="23"/>
      <c r="C10" s="23"/>
      <c r="D10" s="23"/>
      <c r="E10" s="23"/>
      <c r="F10" s="23"/>
      <c r="G10" s="23"/>
      <c r="H10" s="24"/>
      <c r="I10" s="24"/>
      <c r="J10" s="23"/>
      <c r="K10" s="25"/>
      <c r="L10" s="25"/>
      <c r="M10" s="26" t="str">
        <f t="shared" si="0"/>
        <v/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3"/>
      <c r="AB10" t="str">
        <f t="shared" si="1"/>
        <v/>
      </c>
      <c r="AC10">
        <f t="shared" si="2"/>
        <v>0</v>
      </c>
      <c r="AD10">
        <f t="shared" si="3"/>
        <v>0</v>
      </c>
      <c r="AE10" t="str">
        <f t="shared" si="4"/>
        <v/>
      </c>
      <c r="AF10" t="str">
        <f t="shared" si="5"/>
        <v/>
      </c>
      <c r="AG10">
        <f t="shared" si="6"/>
        <v>0</v>
      </c>
      <c r="AH10" t="str">
        <f t="shared" si="7"/>
        <v/>
      </c>
      <c r="AI10" t="str">
        <f t="shared" si="8"/>
        <v/>
      </c>
    </row>
    <row r="11" spans="1:35" x14ac:dyDescent="0.25">
      <c r="A11" s="23"/>
      <c r="B11" s="23"/>
      <c r="C11" s="23"/>
      <c r="D11" s="23"/>
      <c r="E11" s="23"/>
      <c r="F11" s="23"/>
      <c r="G11" s="23"/>
      <c r="H11" s="24"/>
      <c r="I11" s="24"/>
      <c r="J11" s="23"/>
      <c r="K11" s="25"/>
      <c r="L11" s="25"/>
      <c r="M11" s="26" t="str">
        <f t="shared" si="0"/>
        <v/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3"/>
      <c r="AB11" t="str">
        <f t="shared" si="1"/>
        <v/>
      </c>
      <c r="AC11">
        <f t="shared" si="2"/>
        <v>0</v>
      </c>
      <c r="AD11">
        <f t="shared" si="3"/>
        <v>0</v>
      </c>
      <c r="AE11" t="str">
        <f t="shared" si="4"/>
        <v/>
      </c>
      <c r="AF11" t="str">
        <f t="shared" si="5"/>
        <v/>
      </c>
      <c r="AG11">
        <f t="shared" si="6"/>
        <v>0</v>
      </c>
      <c r="AH11" t="str">
        <f t="shared" si="7"/>
        <v/>
      </c>
      <c r="AI11" t="str">
        <f t="shared" si="8"/>
        <v/>
      </c>
    </row>
    <row r="12" spans="1:35" x14ac:dyDescent="0.25">
      <c r="A12" s="23"/>
      <c r="B12" s="23"/>
      <c r="C12" s="23"/>
      <c r="D12" s="23"/>
      <c r="E12" s="23"/>
      <c r="F12" s="23"/>
      <c r="G12" s="23"/>
      <c r="H12" s="24"/>
      <c r="I12" s="24"/>
      <c r="J12" s="23"/>
      <c r="K12" s="25"/>
      <c r="L12" s="25"/>
      <c r="M12" s="26" t="str">
        <f t="shared" si="0"/>
        <v/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3"/>
      <c r="AB12" t="str">
        <f t="shared" si="1"/>
        <v/>
      </c>
      <c r="AC12">
        <f t="shared" si="2"/>
        <v>0</v>
      </c>
      <c r="AD12">
        <f t="shared" si="3"/>
        <v>0</v>
      </c>
      <c r="AE12" t="str">
        <f t="shared" si="4"/>
        <v/>
      </c>
      <c r="AF12" t="str">
        <f t="shared" si="5"/>
        <v/>
      </c>
      <c r="AG12">
        <f t="shared" si="6"/>
        <v>0</v>
      </c>
      <c r="AH12" t="str">
        <f t="shared" si="7"/>
        <v/>
      </c>
      <c r="AI12" t="str">
        <f t="shared" si="8"/>
        <v/>
      </c>
    </row>
    <row r="13" spans="1:35" x14ac:dyDescent="0.25">
      <c r="A13" s="23"/>
      <c r="B13" s="23"/>
      <c r="C13" s="23"/>
      <c r="D13" s="23"/>
      <c r="E13" s="23"/>
      <c r="F13" s="23"/>
      <c r="G13" s="23"/>
      <c r="H13" s="24"/>
      <c r="I13" s="24"/>
      <c r="J13" s="23"/>
      <c r="K13" s="25"/>
      <c r="L13" s="25"/>
      <c r="M13" s="26" t="str">
        <f t="shared" si="0"/>
        <v/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3"/>
      <c r="AB13" t="str">
        <f t="shared" si="1"/>
        <v/>
      </c>
      <c r="AC13">
        <f t="shared" si="2"/>
        <v>0</v>
      </c>
      <c r="AD13">
        <f t="shared" si="3"/>
        <v>0</v>
      </c>
      <c r="AE13" t="str">
        <f t="shared" si="4"/>
        <v/>
      </c>
      <c r="AF13" t="str">
        <f t="shared" si="5"/>
        <v/>
      </c>
      <c r="AG13">
        <f t="shared" si="6"/>
        <v>0</v>
      </c>
      <c r="AH13" t="str">
        <f t="shared" si="7"/>
        <v/>
      </c>
      <c r="AI13" t="str">
        <f t="shared" si="8"/>
        <v/>
      </c>
    </row>
    <row r="14" spans="1:35" x14ac:dyDescent="0.25">
      <c r="A14" s="23"/>
      <c r="B14" s="23"/>
      <c r="C14" s="23"/>
      <c r="D14" s="23"/>
      <c r="E14" s="23"/>
      <c r="F14" s="23"/>
      <c r="G14" s="23"/>
      <c r="H14" s="24"/>
      <c r="I14" s="24"/>
      <c r="J14" s="23"/>
      <c r="K14" s="25"/>
      <c r="L14" s="25"/>
      <c r="M14" s="26" t="str">
        <f t="shared" si="0"/>
        <v/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3"/>
      <c r="AB14" t="str">
        <f t="shared" si="1"/>
        <v/>
      </c>
      <c r="AC14">
        <f t="shared" si="2"/>
        <v>0</v>
      </c>
      <c r="AD14">
        <f t="shared" si="3"/>
        <v>0</v>
      </c>
      <c r="AE14" t="str">
        <f t="shared" si="4"/>
        <v/>
      </c>
      <c r="AF14" t="str">
        <f t="shared" si="5"/>
        <v/>
      </c>
      <c r="AG14">
        <f t="shared" si="6"/>
        <v>0</v>
      </c>
      <c r="AH14" t="str">
        <f t="shared" si="7"/>
        <v/>
      </c>
      <c r="AI14" t="str">
        <f t="shared" si="8"/>
        <v/>
      </c>
    </row>
    <row r="15" spans="1:35" x14ac:dyDescent="0.25">
      <c r="A15" s="23"/>
      <c r="B15" s="23"/>
      <c r="C15" s="23"/>
      <c r="D15" s="23"/>
      <c r="E15" s="23"/>
      <c r="F15" s="23"/>
      <c r="G15" s="23"/>
      <c r="H15" s="24"/>
      <c r="I15" s="24"/>
      <c r="J15" s="23"/>
      <c r="K15" s="25"/>
      <c r="L15" s="25"/>
      <c r="M15" s="26" t="str">
        <f t="shared" si="0"/>
        <v/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3"/>
      <c r="AB15" t="str">
        <f t="shared" si="1"/>
        <v/>
      </c>
      <c r="AC15">
        <f t="shared" si="2"/>
        <v>0</v>
      </c>
      <c r="AD15">
        <f t="shared" si="3"/>
        <v>0</v>
      </c>
      <c r="AE15" t="str">
        <f t="shared" si="4"/>
        <v/>
      </c>
      <c r="AF15" t="str">
        <f t="shared" si="5"/>
        <v/>
      </c>
      <c r="AG15">
        <f t="shared" si="6"/>
        <v>0</v>
      </c>
      <c r="AH15" t="str">
        <f t="shared" si="7"/>
        <v/>
      </c>
      <c r="AI15" t="str">
        <f t="shared" si="8"/>
        <v/>
      </c>
    </row>
    <row r="16" spans="1:35" x14ac:dyDescent="0.25">
      <c r="A16" s="23"/>
      <c r="B16" s="23"/>
      <c r="C16" s="23"/>
      <c r="D16" s="23"/>
      <c r="E16" s="23"/>
      <c r="F16" s="23"/>
      <c r="G16" s="23"/>
      <c r="H16" s="24"/>
      <c r="I16" s="24"/>
      <c r="J16" s="23"/>
      <c r="K16" s="25"/>
      <c r="L16" s="25"/>
      <c r="M16" s="26" t="str">
        <f t="shared" si="0"/>
        <v/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3"/>
      <c r="AB16" t="str">
        <f t="shared" si="1"/>
        <v/>
      </c>
      <c r="AC16">
        <f t="shared" si="2"/>
        <v>0</v>
      </c>
      <c r="AD16">
        <f t="shared" si="3"/>
        <v>0</v>
      </c>
      <c r="AE16" t="str">
        <f t="shared" si="4"/>
        <v/>
      </c>
      <c r="AF16" t="str">
        <f t="shared" si="5"/>
        <v/>
      </c>
      <c r="AG16">
        <f t="shared" si="6"/>
        <v>0</v>
      </c>
      <c r="AH16" t="str">
        <f t="shared" si="7"/>
        <v/>
      </c>
      <c r="AI16" t="str">
        <f t="shared" si="8"/>
        <v/>
      </c>
    </row>
    <row r="17" spans="1:35" x14ac:dyDescent="0.25">
      <c r="A17" s="23"/>
      <c r="B17" s="23"/>
      <c r="C17" s="23"/>
      <c r="D17" s="23"/>
      <c r="E17" s="23"/>
      <c r="F17" s="23"/>
      <c r="G17" s="23"/>
      <c r="H17" s="24"/>
      <c r="I17" s="24"/>
      <c r="J17" s="23"/>
      <c r="K17" s="25"/>
      <c r="L17" s="25"/>
      <c r="M17" s="26" t="str">
        <f t="shared" si="0"/>
        <v/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3"/>
      <c r="AB17" t="str">
        <f t="shared" si="1"/>
        <v/>
      </c>
      <c r="AC17">
        <f t="shared" si="2"/>
        <v>0</v>
      </c>
      <c r="AD17">
        <f t="shared" si="3"/>
        <v>0</v>
      </c>
      <c r="AE17" t="str">
        <f t="shared" si="4"/>
        <v/>
      </c>
      <c r="AF17" t="str">
        <f t="shared" si="5"/>
        <v/>
      </c>
      <c r="AG17">
        <f t="shared" si="6"/>
        <v>0</v>
      </c>
      <c r="AH17" t="str">
        <f t="shared" si="7"/>
        <v/>
      </c>
      <c r="AI17" t="str">
        <f t="shared" si="8"/>
        <v/>
      </c>
    </row>
    <row r="18" spans="1:35" x14ac:dyDescent="0.25">
      <c r="A18" s="23"/>
      <c r="B18" s="23"/>
      <c r="C18" s="23"/>
      <c r="D18" s="23"/>
      <c r="E18" s="23"/>
      <c r="F18" s="23"/>
      <c r="G18" s="23"/>
      <c r="H18" s="24"/>
      <c r="I18" s="24"/>
      <c r="J18" s="23"/>
      <c r="K18" s="25"/>
      <c r="L18" s="25"/>
      <c r="M18" s="26" t="str">
        <f t="shared" si="0"/>
        <v/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3"/>
      <c r="AB18" t="str">
        <f t="shared" si="1"/>
        <v/>
      </c>
      <c r="AC18">
        <f t="shared" si="2"/>
        <v>0</v>
      </c>
      <c r="AD18">
        <f t="shared" si="3"/>
        <v>0</v>
      </c>
      <c r="AE18" t="str">
        <f t="shared" si="4"/>
        <v/>
      </c>
      <c r="AF18" t="str">
        <f t="shared" si="5"/>
        <v/>
      </c>
      <c r="AG18">
        <f t="shared" si="6"/>
        <v>0</v>
      </c>
      <c r="AH18" t="str">
        <f t="shared" si="7"/>
        <v/>
      </c>
      <c r="AI18" t="str">
        <f t="shared" si="8"/>
        <v/>
      </c>
    </row>
    <row r="19" spans="1:35" x14ac:dyDescent="0.25">
      <c r="A19" s="23"/>
      <c r="B19" s="23"/>
      <c r="C19" s="23"/>
      <c r="D19" s="23"/>
      <c r="E19" s="23"/>
      <c r="F19" s="23"/>
      <c r="G19" s="23"/>
      <c r="H19" s="24"/>
      <c r="I19" s="24"/>
      <c r="J19" s="23"/>
      <c r="K19" s="25"/>
      <c r="L19" s="25"/>
      <c r="M19" s="26" t="str">
        <f t="shared" si="0"/>
        <v/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3"/>
      <c r="AB19" t="str">
        <f t="shared" si="1"/>
        <v/>
      </c>
      <c r="AC19">
        <f t="shared" si="2"/>
        <v>0</v>
      </c>
      <c r="AD19">
        <f t="shared" si="3"/>
        <v>0</v>
      </c>
      <c r="AE19" t="str">
        <f t="shared" si="4"/>
        <v/>
      </c>
      <c r="AF19" t="str">
        <f t="shared" si="5"/>
        <v/>
      </c>
      <c r="AG19">
        <f t="shared" si="6"/>
        <v>0</v>
      </c>
      <c r="AH19" t="str">
        <f t="shared" si="7"/>
        <v/>
      </c>
      <c r="AI19" t="str">
        <f t="shared" si="8"/>
        <v/>
      </c>
    </row>
    <row r="20" spans="1:35" x14ac:dyDescent="0.25">
      <c r="A20" s="23"/>
      <c r="B20" s="23"/>
      <c r="C20" s="23"/>
      <c r="D20" s="23"/>
      <c r="E20" s="23"/>
      <c r="F20" s="23"/>
      <c r="G20" s="23"/>
      <c r="H20" s="24"/>
      <c r="I20" s="24"/>
      <c r="J20" s="23"/>
      <c r="K20" s="25"/>
      <c r="L20" s="25"/>
      <c r="M20" s="26" t="str">
        <f t="shared" si="0"/>
        <v/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3"/>
      <c r="AB20" t="str">
        <f t="shared" si="1"/>
        <v/>
      </c>
      <c r="AC20">
        <f t="shared" si="2"/>
        <v>0</v>
      </c>
      <c r="AD20">
        <f t="shared" si="3"/>
        <v>0</v>
      </c>
      <c r="AE20" t="str">
        <f t="shared" si="4"/>
        <v/>
      </c>
      <c r="AF20" t="str">
        <f t="shared" si="5"/>
        <v/>
      </c>
      <c r="AG20">
        <f t="shared" si="6"/>
        <v>0</v>
      </c>
      <c r="AH20" t="str">
        <f t="shared" si="7"/>
        <v/>
      </c>
      <c r="AI20" t="str">
        <f t="shared" si="8"/>
        <v/>
      </c>
    </row>
    <row r="21" spans="1:35" x14ac:dyDescent="0.25">
      <c r="A21" s="23"/>
      <c r="B21" s="23"/>
      <c r="C21" s="23"/>
      <c r="D21" s="23"/>
      <c r="E21" s="23"/>
      <c r="F21" s="23"/>
      <c r="G21" s="23"/>
      <c r="H21" s="24"/>
      <c r="I21" s="24"/>
      <c r="J21" s="23"/>
      <c r="K21" s="25"/>
      <c r="L21" s="25"/>
      <c r="M21" s="26" t="str">
        <f t="shared" si="0"/>
        <v/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3"/>
      <c r="AB21" t="str">
        <f t="shared" si="1"/>
        <v/>
      </c>
      <c r="AC21">
        <f t="shared" si="2"/>
        <v>0</v>
      </c>
      <c r="AD21">
        <f t="shared" si="3"/>
        <v>0</v>
      </c>
      <c r="AE21" t="str">
        <f t="shared" si="4"/>
        <v/>
      </c>
      <c r="AF21" t="str">
        <f t="shared" si="5"/>
        <v/>
      </c>
      <c r="AG21">
        <f t="shared" si="6"/>
        <v>0</v>
      </c>
      <c r="AH21" t="str">
        <f t="shared" si="7"/>
        <v/>
      </c>
      <c r="AI21" t="str">
        <f t="shared" si="8"/>
        <v/>
      </c>
    </row>
    <row r="22" spans="1:35" x14ac:dyDescent="0.25">
      <c r="A22" s="23"/>
      <c r="B22" s="23"/>
      <c r="C22" s="23"/>
      <c r="D22" s="23"/>
      <c r="E22" s="23"/>
      <c r="F22" s="23"/>
      <c r="G22" s="23"/>
      <c r="H22" s="24"/>
      <c r="I22" s="24"/>
      <c r="J22" s="23"/>
      <c r="K22" s="25"/>
      <c r="L22" s="25"/>
      <c r="M22" s="26" t="str">
        <f t="shared" si="0"/>
        <v/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3"/>
      <c r="AB22" t="str">
        <f t="shared" si="1"/>
        <v/>
      </c>
      <c r="AC22">
        <f t="shared" si="2"/>
        <v>0</v>
      </c>
      <c r="AD22">
        <f t="shared" si="3"/>
        <v>0</v>
      </c>
      <c r="AE22" t="str">
        <f t="shared" si="4"/>
        <v/>
      </c>
      <c r="AF22" t="str">
        <f t="shared" si="5"/>
        <v/>
      </c>
      <c r="AG22">
        <f t="shared" si="6"/>
        <v>0</v>
      </c>
      <c r="AH22" t="str">
        <f t="shared" si="7"/>
        <v/>
      </c>
      <c r="AI22" t="str">
        <f t="shared" si="8"/>
        <v/>
      </c>
    </row>
    <row r="23" spans="1:35" x14ac:dyDescent="0.25">
      <c r="A23" s="23"/>
      <c r="B23" s="23"/>
      <c r="C23" s="23"/>
      <c r="D23" s="23"/>
      <c r="E23" s="23"/>
      <c r="F23" s="23"/>
      <c r="G23" s="23"/>
      <c r="H23" s="24"/>
      <c r="I23" s="24"/>
      <c r="J23" s="23"/>
      <c r="K23" s="25"/>
      <c r="L23" s="25"/>
      <c r="M23" s="26" t="str">
        <f t="shared" si="0"/>
        <v/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3"/>
      <c r="AB23" t="str">
        <f t="shared" si="1"/>
        <v/>
      </c>
      <c r="AC23">
        <f t="shared" si="2"/>
        <v>0</v>
      </c>
      <c r="AD23">
        <f t="shared" si="3"/>
        <v>0</v>
      </c>
      <c r="AE23" t="str">
        <f t="shared" si="4"/>
        <v/>
      </c>
      <c r="AF23" t="str">
        <f t="shared" si="5"/>
        <v/>
      </c>
      <c r="AG23">
        <f t="shared" si="6"/>
        <v>0</v>
      </c>
      <c r="AH23" t="str">
        <f t="shared" si="7"/>
        <v/>
      </c>
      <c r="AI23" t="str">
        <f t="shared" si="8"/>
        <v/>
      </c>
    </row>
    <row r="24" spans="1:35" x14ac:dyDescent="0.25">
      <c r="A24" s="23"/>
      <c r="B24" s="23"/>
      <c r="C24" s="23"/>
      <c r="D24" s="23"/>
      <c r="E24" s="23"/>
      <c r="F24" s="23"/>
      <c r="G24" s="23"/>
      <c r="H24" s="24"/>
      <c r="I24" s="24"/>
      <c r="J24" s="23"/>
      <c r="K24" s="25"/>
      <c r="L24" s="25"/>
      <c r="M24" s="26" t="str">
        <f t="shared" si="0"/>
        <v/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3"/>
      <c r="AB24" t="str">
        <f t="shared" si="1"/>
        <v/>
      </c>
      <c r="AC24">
        <f t="shared" si="2"/>
        <v>0</v>
      </c>
      <c r="AD24">
        <f t="shared" si="3"/>
        <v>0</v>
      </c>
      <c r="AE24" t="str">
        <f t="shared" si="4"/>
        <v/>
      </c>
      <c r="AF24" t="str">
        <f t="shared" si="5"/>
        <v/>
      </c>
      <c r="AG24">
        <f t="shared" si="6"/>
        <v>0</v>
      </c>
      <c r="AH24" t="str">
        <f t="shared" si="7"/>
        <v/>
      </c>
      <c r="AI24" t="str">
        <f t="shared" si="8"/>
        <v/>
      </c>
    </row>
    <row r="25" spans="1:35" x14ac:dyDescent="0.25">
      <c r="A25" s="23"/>
      <c r="B25" s="23"/>
      <c r="C25" s="23"/>
      <c r="D25" s="23"/>
      <c r="E25" s="23"/>
      <c r="F25" s="23"/>
      <c r="G25" s="23"/>
      <c r="H25" s="24"/>
      <c r="I25" s="24"/>
      <c r="J25" s="23"/>
      <c r="K25" s="25"/>
      <c r="L25" s="25"/>
      <c r="M25" s="26" t="str">
        <f t="shared" si="0"/>
        <v/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3"/>
      <c r="AB25" t="str">
        <f t="shared" si="1"/>
        <v/>
      </c>
      <c r="AC25">
        <f t="shared" si="2"/>
        <v>0</v>
      </c>
      <c r="AD25">
        <f t="shared" si="3"/>
        <v>0</v>
      </c>
      <c r="AE25" t="str">
        <f t="shared" si="4"/>
        <v/>
      </c>
      <c r="AF25" t="str">
        <f t="shared" si="5"/>
        <v/>
      </c>
      <c r="AG25">
        <f t="shared" si="6"/>
        <v>0</v>
      </c>
      <c r="AH25" t="str">
        <f t="shared" si="7"/>
        <v/>
      </c>
      <c r="AI25" t="str">
        <f t="shared" si="8"/>
        <v/>
      </c>
    </row>
    <row r="26" spans="1:35" x14ac:dyDescent="0.25">
      <c r="A26" s="23"/>
      <c r="B26" s="23"/>
      <c r="C26" s="23"/>
      <c r="D26" s="23"/>
      <c r="E26" s="23"/>
      <c r="F26" s="23"/>
      <c r="G26" s="23"/>
      <c r="H26" s="24"/>
      <c r="I26" s="24"/>
      <c r="J26" s="23"/>
      <c r="K26" s="25"/>
      <c r="L26" s="25"/>
      <c r="M26" s="26" t="str">
        <f t="shared" si="0"/>
        <v/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3"/>
      <c r="AB26" t="str">
        <f t="shared" si="1"/>
        <v/>
      </c>
      <c r="AC26">
        <f t="shared" si="2"/>
        <v>0</v>
      </c>
      <c r="AD26">
        <f t="shared" si="3"/>
        <v>0</v>
      </c>
      <c r="AE26" t="str">
        <f t="shared" si="4"/>
        <v/>
      </c>
      <c r="AF26" t="str">
        <f t="shared" si="5"/>
        <v/>
      </c>
      <c r="AG26">
        <f t="shared" si="6"/>
        <v>0</v>
      </c>
      <c r="AH26" t="str">
        <f t="shared" si="7"/>
        <v/>
      </c>
      <c r="AI26" t="str">
        <f t="shared" si="8"/>
        <v/>
      </c>
    </row>
    <row r="27" spans="1:35" x14ac:dyDescent="0.25">
      <c r="A27" s="23"/>
      <c r="B27" s="23"/>
      <c r="C27" s="23"/>
      <c r="D27" s="23"/>
      <c r="E27" s="23"/>
      <c r="F27" s="23"/>
      <c r="G27" s="23"/>
      <c r="H27" s="24"/>
      <c r="I27" s="24"/>
      <c r="J27" s="23"/>
      <c r="K27" s="25"/>
      <c r="L27" s="25"/>
      <c r="M27" s="26" t="str">
        <f t="shared" si="0"/>
        <v/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3"/>
      <c r="AB27" t="str">
        <f t="shared" si="1"/>
        <v/>
      </c>
      <c r="AC27">
        <f t="shared" si="2"/>
        <v>0</v>
      </c>
      <c r="AD27">
        <f t="shared" si="3"/>
        <v>0</v>
      </c>
      <c r="AE27" t="str">
        <f t="shared" si="4"/>
        <v/>
      </c>
      <c r="AF27" t="str">
        <f t="shared" si="5"/>
        <v/>
      </c>
      <c r="AG27">
        <f t="shared" si="6"/>
        <v>0</v>
      </c>
      <c r="AH27" t="str">
        <f t="shared" si="7"/>
        <v/>
      </c>
      <c r="AI27" t="str">
        <f t="shared" si="8"/>
        <v/>
      </c>
    </row>
    <row r="28" spans="1:35" x14ac:dyDescent="0.25">
      <c r="A28" s="23"/>
      <c r="B28" s="23"/>
      <c r="C28" s="23"/>
      <c r="D28" s="23"/>
      <c r="E28" s="23"/>
      <c r="F28" s="23"/>
      <c r="G28" s="23"/>
      <c r="H28" s="24"/>
      <c r="I28" s="24"/>
      <c r="J28" s="23"/>
      <c r="K28" s="25"/>
      <c r="L28" s="25"/>
      <c r="M28" s="26" t="str">
        <f t="shared" si="0"/>
        <v/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3"/>
      <c r="AB28" t="str">
        <f t="shared" si="1"/>
        <v/>
      </c>
      <c r="AC28">
        <f t="shared" si="2"/>
        <v>0</v>
      </c>
      <c r="AD28">
        <f t="shared" si="3"/>
        <v>0</v>
      </c>
      <c r="AE28" t="str">
        <f t="shared" si="4"/>
        <v/>
      </c>
      <c r="AF28" t="str">
        <f t="shared" si="5"/>
        <v/>
      </c>
      <c r="AG28">
        <f t="shared" si="6"/>
        <v>0</v>
      </c>
      <c r="AH28" t="str">
        <f t="shared" si="7"/>
        <v/>
      </c>
      <c r="AI28" t="str">
        <f t="shared" si="8"/>
        <v/>
      </c>
    </row>
    <row r="29" spans="1:35" x14ac:dyDescent="0.25">
      <c r="A29" s="23"/>
      <c r="B29" s="23"/>
      <c r="C29" s="23"/>
      <c r="D29" s="23"/>
      <c r="E29" s="23"/>
      <c r="F29" s="23"/>
      <c r="G29" s="23"/>
      <c r="H29" s="24"/>
      <c r="I29" s="24"/>
      <c r="J29" s="23"/>
      <c r="K29" s="25"/>
      <c r="L29" s="25"/>
      <c r="M29" s="26" t="str">
        <f t="shared" si="0"/>
        <v/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3"/>
      <c r="AB29" t="str">
        <f t="shared" si="1"/>
        <v/>
      </c>
      <c r="AC29">
        <f t="shared" si="2"/>
        <v>0</v>
      </c>
      <c r="AD29">
        <f t="shared" si="3"/>
        <v>0</v>
      </c>
      <c r="AE29" t="str">
        <f t="shared" si="4"/>
        <v/>
      </c>
      <c r="AF29" t="str">
        <f t="shared" si="5"/>
        <v/>
      </c>
      <c r="AG29">
        <f t="shared" si="6"/>
        <v>0</v>
      </c>
      <c r="AH29" t="str">
        <f t="shared" si="7"/>
        <v/>
      </c>
      <c r="AI29" t="str">
        <f t="shared" si="8"/>
        <v/>
      </c>
    </row>
    <row r="30" spans="1:35" x14ac:dyDescent="0.25">
      <c r="A30" s="23"/>
      <c r="B30" s="23"/>
      <c r="C30" s="23"/>
      <c r="D30" s="23"/>
      <c r="E30" s="23"/>
      <c r="F30" s="23"/>
      <c r="G30" s="23"/>
      <c r="H30" s="24"/>
      <c r="I30" s="24"/>
      <c r="J30" s="23"/>
      <c r="K30" s="25"/>
      <c r="L30" s="25"/>
      <c r="M30" s="26" t="str">
        <f t="shared" si="0"/>
        <v/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3"/>
      <c r="AB30" t="str">
        <f t="shared" si="1"/>
        <v/>
      </c>
      <c r="AC30">
        <f t="shared" si="2"/>
        <v>0</v>
      </c>
      <c r="AD30">
        <f t="shared" si="3"/>
        <v>0</v>
      </c>
      <c r="AE30" t="str">
        <f t="shared" si="4"/>
        <v/>
      </c>
      <c r="AF30" t="str">
        <f t="shared" si="5"/>
        <v/>
      </c>
      <c r="AG30">
        <f t="shared" si="6"/>
        <v>0</v>
      </c>
      <c r="AH30" t="str">
        <f t="shared" si="7"/>
        <v/>
      </c>
      <c r="AI30" t="str">
        <f t="shared" si="8"/>
        <v/>
      </c>
    </row>
    <row r="31" spans="1:35" x14ac:dyDescent="0.25">
      <c r="A31" s="23"/>
      <c r="B31" s="23"/>
      <c r="C31" s="23"/>
      <c r="D31" s="23"/>
      <c r="E31" s="23"/>
      <c r="F31" s="23"/>
      <c r="G31" s="23"/>
      <c r="H31" s="24"/>
      <c r="I31" s="24"/>
      <c r="J31" s="23"/>
      <c r="K31" s="25"/>
      <c r="L31" s="25"/>
      <c r="M31" s="26" t="str">
        <f t="shared" si="0"/>
        <v/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3"/>
      <c r="AB31" t="str">
        <f t="shared" si="1"/>
        <v/>
      </c>
      <c r="AC31">
        <f t="shared" si="2"/>
        <v>0</v>
      </c>
      <c r="AD31">
        <f t="shared" si="3"/>
        <v>0</v>
      </c>
      <c r="AE31" t="str">
        <f t="shared" si="4"/>
        <v/>
      </c>
      <c r="AF31" t="str">
        <f t="shared" si="5"/>
        <v/>
      </c>
      <c r="AG31">
        <f t="shared" si="6"/>
        <v>0</v>
      </c>
      <c r="AH31" t="str">
        <f t="shared" si="7"/>
        <v/>
      </c>
      <c r="AI31" t="str">
        <f t="shared" si="8"/>
        <v/>
      </c>
    </row>
    <row r="32" spans="1:35" x14ac:dyDescent="0.25">
      <c r="A32" s="23"/>
      <c r="B32" s="23"/>
      <c r="C32" s="23"/>
      <c r="D32" s="23"/>
      <c r="E32" s="23"/>
      <c r="F32" s="23"/>
      <c r="G32" s="23"/>
      <c r="H32" s="24"/>
      <c r="I32" s="24"/>
      <c r="J32" s="23"/>
      <c r="K32" s="25"/>
      <c r="L32" s="25"/>
      <c r="M32" s="26" t="str">
        <f t="shared" si="0"/>
        <v/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3"/>
      <c r="AB32" t="str">
        <f t="shared" si="1"/>
        <v/>
      </c>
      <c r="AC32">
        <f t="shared" si="2"/>
        <v>0</v>
      </c>
      <c r="AD32">
        <f t="shared" si="3"/>
        <v>0</v>
      </c>
      <c r="AE32" t="str">
        <f t="shared" si="4"/>
        <v/>
      </c>
      <c r="AF32" t="str">
        <f t="shared" si="5"/>
        <v/>
      </c>
      <c r="AG32">
        <f t="shared" si="6"/>
        <v>0</v>
      </c>
      <c r="AH32" t="str">
        <f t="shared" si="7"/>
        <v/>
      </c>
      <c r="AI32" t="str">
        <f t="shared" si="8"/>
        <v/>
      </c>
    </row>
    <row r="33" spans="1:35" x14ac:dyDescent="0.25">
      <c r="A33" s="23"/>
      <c r="B33" s="23"/>
      <c r="C33" s="23"/>
      <c r="D33" s="23"/>
      <c r="E33" s="23"/>
      <c r="F33" s="23"/>
      <c r="G33" s="23"/>
      <c r="H33" s="24"/>
      <c r="I33" s="24"/>
      <c r="J33" s="23"/>
      <c r="K33" s="25"/>
      <c r="L33" s="25"/>
      <c r="M33" s="26" t="str">
        <f t="shared" si="0"/>
        <v/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3"/>
      <c r="AB33" t="str">
        <f t="shared" si="1"/>
        <v/>
      </c>
      <c r="AC33">
        <f t="shared" si="2"/>
        <v>0</v>
      </c>
      <c r="AD33">
        <f t="shared" si="3"/>
        <v>0</v>
      </c>
      <c r="AE33" t="str">
        <f t="shared" si="4"/>
        <v/>
      </c>
      <c r="AF33" t="str">
        <f t="shared" si="5"/>
        <v/>
      </c>
      <c r="AG33">
        <f t="shared" si="6"/>
        <v>0</v>
      </c>
      <c r="AH33" t="str">
        <f t="shared" si="7"/>
        <v/>
      </c>
      <c r="AI33" t="str">
        <f t="shared" si="8"/>
        <v/>
      </c>
    </row>
    <row r="34" spans="1:35" x14ac:dyDescent="0.25">
      <c r="A34" s="23"/>
      <c r="B34" s="23"/>
      <c r="C34" s="23"/>
      <c r="D34" s="23"/>
      <c r="E34" s="23"/>
      <c r="F34" s="23"/>
      <c r="G34" s="23"/>
      <c r="H34" s="24"/>
      <c r="I34" s="24"/>
      <c r="J34" s="23"/>
      <c r="K34" s="25"/>
      <c r="L34" s="25"/>
      <c r="M34" s="26" t="str">
        <f t="shared" si="0"/>
        <v/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3"/>
      <c r="AB34" t="str">
        <f t="shared" si="1"/>
        <v/>
      </c>
      <c r="AC34">
        <f t="shared" si="2"/>
        <v>0</v>
      </c>
      <c r="AD34">
        <f t="shared" si="3"/>
        <v>0</v>
      </c>
      <c r="AE34" t="str">
        <f t="shared" si="4"/>
        <v/>
      </c>
      <c r="AF34" t="str">
        <f t="shared" si="5"/>
        <v/>
      </c>
      <c r="AG34">
        <f t="shared" si="6"/>
        <v>0</v>
      </c>
      <c r="AH34" t="str">
        <f t="shared" si="7"/>
        <v/>
      </c>
      <c r="AI34" t="str">
        <f t="shared" si="8"/>
        <v/>
      </c>
    </row>
    <row r="35" spans="1:35" x14ac:dyDescent="0.25">
      <c r="A35" s="23"/>
      <c r="B35" s="23"/>
      <c r="C35" s="23"/>
      <c r="D35" s="23"/>
      <c r="E35" s="23"/>
      <c r="F35" s="23"/>
      <c r="G35" s="23"/>
      <c r="H35" s="24"/>
      <c r="I35" s="24"/>
      <c r="J35" s="23"/>
      <c r="K35" s="25"/>
      <c r="L35" s="25"/>
      <c r="M35" s="26" t="str">
        <f t="shared" si="0"/>
        <v/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3"/>
      <c r="AB35" t="str">
        <f t="shared" si="1"/>
        <v/>
      </c>
      <c r="AC35">
        <f t="shared" si="2"/>
        <v>0</v>
      </c>
      <c r="AD35">
        <f t="shared" si="3"/>
        <v>0</v>
      </c>
      <c r="AE35" t="str">
        <f t="shared" si="4"/>
        <v/>
      </c>
      <c r="AF35" t="str">
        <f t="shared" si="5"/>
        <v/>
      </c>
      <c r="AG35">
        <f t="shared" si="6"/>
        <v>0</v>
      </c>
      <c r="AH35" t="str">
        <f t="shared" si="7"/>
        <v/>
      </c>
      <c r="AI35" t="str">
        <f t="shared" si="8"/>
        <v/>
      </c>
    </row>
    <row r="36" spans="1:35" x14ac:dyDescent="0.25">
      <c r="A36" s="23"/>
      <c r="B36" s="23"/>
      <c r="C36" s="23"/>
      <c r="D36" s="23"/>
      <c r="E36" s="23"/>
      <c r="F36" s="23"/>
      <c r="G36" s="23"/>
      <c r="H36" s="24"/>
      <c r="I36" s="24"/>
      <c r="J36" s="23"/>
      <c r="K36" s="25"/>
      <c r="L36" s="25"/>
      <c r="M36" s="26" t="str">
        <f t="shared" si="0"/>
        <v/>
      </c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3"/>
      <c r="AB36" t="str">
        <f t="shared" si="1"/>
        <v/>
      </c>
      <c r="AC36">
        <f t="shared" si="2"/>
        <v>0</v>
      </c>
      <c r="AD36">
        <f t="shared" si="3"/>
        <v>0</v>
      </c>
      <c r="AE36" t="str">
        <f t="shared" si="4"/>
        <v/>
      </c>
      <c r="AF36" t="str">
        <f t="shared" si="5"/>
        <v/>
      </c>
      <c r="AG36">
        <f t="shared" si="6"/>
        <v>0</v>
      </c>
      <c r="AH36" t="str">
        <f t="shared" si="7"/>
        <v/>
      </c>
      <c r="AI36" t="str">
        <f t="shared" si="8"/>
        <v/>
      </c>
    </row>
    <row r="37" spans="1:35" x14ac:dyDescent="0.25">
      <c r="A37" s="23"/>
      <c r="B37" s="23"/>
      <c r="C37" s="23"/>
      <c r="D37" s="23"/>
      <c r="E37" s="23"/>
      <c r="F37" s="23"/>
      <c r="G37" s="23"/>
      <c r="H37" s="24"/>
      <c r="I37" s="24"/>
      <c r="J37" s="23"/>
      <c r="K37" s="25"/>
      <c r="L37" s="25"/>
      <c r="M37" s="26" t="str">
        <f t="shared" si="0"/>
        <v/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3"/>
      <c r="AB37" t="str">
        <f t="shared" si="1"/>
        <v/>
      </c>
      <c r="AC37">
        <f t="shared" si="2"/>
        <v>0</v>
      </c>
      <c r="AD37">
        <f t="shared" si="3"/>
        <v>0</v>
      </c>
      <c r="AE37" t="str">
        <f t="shared" si="4"/>
        <v/>
      </c>
      <c r="AF37" t="str">
        <f t="shared" si="5"/>
        <v/>
      </c>
      <c r="AG37">
        <f t="shared" si="6"/>
        <v>0</v>
      </c>
      <c r="AH37" t="str">
        <f t="shared" si="7"/>
        <v/>
      </c>
      <c r="AI37" t="str">
        <f t="shared" si="8"/>
        <v/>
      </c>
    </row>
    <row r="38" spans="1:35" x14ac:dyDescent="0.25">
      <c r="A38" s="23"/>
      <c r="B38" s="23"/>
      <c r="C38" s="23"/>
      <c r="D38" s="23"/>
      <c r="E38" s="23"/>
      <c r="F38" s="23"/>
      <c r="G38" s="23"/>
      <c r="H38" s="24"/>
      <c r="I38" s="24"/>
      <c r="J38" s="23"/>
      <c r="K38" s="25"/>
      <c r="L38" s="25"/>
      <c r="M38" s="26" t="str">
        <f t="shared" si="0"/>
        <v/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3"/>
      <c r="AB38" t="str">
        <f t="shared" si="1"/>
        <v/>
      </c>
      <c r="AC38">
        <f t="shared" si="2"/>
        <v>0</v>
      </c>
      <c r="AD38">
        <f t="shared" si="3"/>
        <v>0</v>
      </c>
      <c r="AE38" t="str">
        <f t="shared" si="4"/>
        <v/>
      </c>
      <c r="AF38" t="str">
        <f t="shared" si="5"/>
        <v/>
      </c>
      <c r="AG38">
        <f t="shared" si="6"/>
        <v>0</v>
      </c>
      <c r="AH38" t="str">
        <f t="shared" si="7"/>
        <v/>
      </c>
      <c r="AI38" t="str">
        <f t="shared" si="8"/>
        <v/>
      </c>
    </row>
    <row r="39" spans="1:35" x14ac:dyDescent="0.25">
      <c r="A39" s="23"/>
      <c r="B39" s="23"/>
      <c r="C39" s="23"/>
      <c r="D39" s="23"/>
      <c r="E39" s="23"/>
      <c r="F39" s="23"/>
      <c r="G39" s="23"/>
      <c r="H39" s="24"/>
      <c r="I39" s="24"/>
      <c r="J39" s="23"/>
      <c r="K39" s="25"/>
      <c r="L39" s="25"/>
      <c r="M39" s="26" t="str">
        <f t="shared" si="0"/>
        <v/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3"/>
      <c r="AB39" t="str">
        <f t="shared" si="1"/>
        <v/>
      </c>
      <c r="AC39">
        <f t="shared" si="2"/>
        <v>0</v>
      </c>
      <c r="AD39">
        <f t="shared" si="3"/>
        <v>0</v>
      </c>
      <c r="AE39" t="str">
        <f t="shared" si="4"/>
        <v/>
      </c>
      <c r="AF39" t="str">
        <f t="shared" si="5"/>
        <v/>
      </c>
      <c r="AG39">
        <f t="shared" si="6"/>
        <v>0</v>
      </c>
      <c r="AH39" t="str">
        <f t="shared" si="7"/>
        <v/>
      </c>
      <c r="AI39" t="str">
        <f t="shared" si="8"/>
        <v/>
      </c>
    </row>
    <row r="40" spans="1:35" x14ac:dyDescent="0.25">
      <c r="A40" s="23"/>
      <c r="B40" s="23"/>
      <c r="C40" s="23"/>
      <c r="D40" s="23"/>
      <c r="E40" s="23"/>
      <c r="F40" s="23"/>
      <c r="G40" s="23"/>
      <c r="H40" s="24"/>
      <c r="I40" s="24"/>
      <c r="J40" s="23"/>
      <c r="K40" s="25"/>
      <c r="L40" s="25"/>
      <c r="M40" s="26" t="str">
        <f t="shared" si="0"/>
        <v/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3"/>
      <c r="AB40" t="str">
        <f t="shared" si="1"/>
        <v/>
      </c>
      <c r="AC40">
        <f t="shared" si="2"/>
        <v>0</v>
      </c>
      <c r="AD40">
        <f t="shared" si="3"/>
        <v>0</v>
      </c>
      <c r="AE40" t="str">
        <f t="shared" si="4"/>
        <v/>
      </c>
      <c r="AF40" t="str">
        <f t="shared" si="5"/>
        <v/>
      </c>
      <c r="AG40">
        <f t="shared" si="6"/>
        <v>0</v>
      </c>
      <c r="AH40" t="str">
        <f t="shared" si="7"/>
        <v/>
      </c>
      <c r="AI40" t="str">
        <f t="shared" si="8"/>
        <v/>
      </c>
    </row>
    <row r="41" spans="1:35" x14ac:dyDescent="0.25">
      <c r="A41" s="23"/>
      <c r="B41" s="23"/>
      <c r="C41" s="23"/>
      <c r="D41" s="23"/>
      <c r="E41" s="23"/>
      <c r="F41" s="23"/>
      <c r="G41" s="23"/>
      <c r="H41" s="24"/>
      <c r="I41" s="24"/>
      <c r="J41" s="23"/>
      <c r="K41" s="25"/>
      <c r="L41" s="25"/>
      <c r="M41" s="26" t="str">
        <f t="shared" si="0"/>
        <v/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3"/>
      <c r="AB41" t="str">
        <f t="shared" si="1"/>
        <v/>
      </c>
      <c r="AC41">
        <f t="shared" si="2"/>
        <v>0</v>
      </c>
      <c r="AD41">
        <f t="shared" si="3"/>
        <v>0</v>
      </c>
      <c r="AE41" t="str">
        <f t="shared" si="4"/>
        <v/>
      </c>
      <c r="AF41" t="str">
        <f t="shared" si="5"/>
        <v/>
      </c>
      <c r="AG41">
        <f t="shared" si="6"/>
        <v>0</v>
      </c>
      <c r="AH41" t="str">
        <f t="shared" si="7"/>
        <v/>
      </c>
      <c r="AI41" t="str">
        <f t="shared" si="8"/>
        <v/>
      </c>
    </row>
    <row r="42" spans="1:35" x14ac:dyDescent="0.25">
      <c r="A42" s="23"/>
      <c r="B42" s="23"/>
      <c r="C42" s="23"/>
      <c r="D42" s="23"/>
      <c r="E42" s="23"/>
      <c r="F42" s="23"/>
      <c r="G42" s="23"/>
      <c r="H42" s="24"/>
      <c r="I42" s="24"/>
      <c r="J42" s="23"/>
      <c r="K42" s="25"/>
      <c r="L42" s="25"/>
      <c r="M42" s="26" t="str">
        <f t="shared" si="0"/>
        <v/>
      </c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3"/>
      <c r="AB42" t="str">
        <f t="shared" si="1"/>
        <v/>
      </c>
      <c r="AC42">
        <f t="shared" si="2"/>
        <v>0</v>
      </c>
      <c r="AD42">
        <f t="shared" si="3"/>
        <v>0</v>
      </c>
      <c r="AE42" t="str">
        <f t="shared" si="4"/>
        <v/>
      </c>
      <c r="AF42" t="str">
        <f t="shared" si="5"/>
        <v/>
      </c>
      <c r="AG42">
        <f t="shared" si="6"/>
        <v>0</v>
      </c>
      <c r="AH42" t="str">
        <f t="shared" si="7"/>
        <v/>
      </c>
      <c r="AI42" t="str">
        <f t="shared" si="8"/>
        <v/>
      </c>
    </row>
    <row r="43" spans="1:35" x14ac:dyDescent="0.25">
      <c r="A43" s="23"/>
      <c r="B43" s="23"/>
      <c r="C43" s="23"/>
      <c r="D43" s="23"/>
      <c r="E43" s="23"/>
      <c r="F43" s="23"/>
      <c r="G43" s="23"/>
      <c r="H43" s="24"/>
      <c r="I43" s="24"/>
      <c r="J43" s="23"/>
      <c r="K43" s="25"/>
      <c r="L43" s="25"/>
      <c r="M43" s="26" t="str">
        <f t="shared" si="0"/>
        <v/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3"/>
      <c r="AB43" t="str">
        <f t="shared" si="1"/>
        <v/>
      </c>
      <c r="AC43">
        <f t="shared" si="2"/>
        <v>0</v>
      </c>
      <c r="AD43">
        <f t="shared" si="3"/>
        <v>0</v>
      </c>
      <c r="AE43" t="str">
        <f t="shared" si="4"/>
        <v/>
      </c>
      <c r="AF43" t="str">
        <f t="shared" si="5"/>
        <v/>
      </c>
      <c r="AG43">
        <f t="shared" si="6"/>
        <v>0</v>
      </c>
      <c r="AH43" t="str">
        <f t="shared" si="7"/>
        <v/>
      </c>
      <c r="AI43" t="str">
        <f t="shared" si="8"/>
        <v/>
      </c>
    </row>
    <row r="44" spans="1:35" x14ac:dyDescent="0.25">
      <c r="A44" s="23"/>
      <c r="B44" s="23"/>
      <c r="C44" s="23"/>
      <c r="D44" s="23"/>
      <c r="E44" s="23"/>
      <c r="F44" s="23"/>
      <c r="G44" s="23"/>
      <c r="H44" s="24"/>
      <c r="I44" s="24"/>
      <c r="J44" s="23"/>
      <c r="K44" s="25"/>
      <c r="L44" s="25"/>
      <c r="M44" s="26" t="str">
        <f t="shared" si="0"/>
        <v/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3"/>
      <c r="AB44" t="str">
        <f t="shared" si="1"/>
        <v/>
      </c>
      <c r="AC44">
        <f t="shared" si="2"/>
        <v>0</v>
      </c>
      <c r="AD44">
        <f t="shared" si="3"/>
        <v>0</v>
      </c>
      <c r="AE44" t="str">
        <f t="shared" si="4"/>
        <v/>
      </c>
      <c r="AF44" t="str">
        <f t="shared" si="5"/>
        <v/>
      </c>
      <c r="AG44">
        <f t="shared" si="6"/>
        <v>0</v>
      </c>
      <c r="AH44" t="str">
        <f t="shared" si="7"/>
        <v/>
      </c>
      <c r="AI44" t="str">
        <f t="shared" si="8"/>
        <v/>
      </c>
    </row>
    <row r="45" spans="1:35" x14ac:dyDescent="0.25">
      <c r="A45" s="23"/>
      <c r="B45" s="23"/>
      <c r="C45" s="23"/>
      <c r="D45" s="23"/>
      <c r="E45" s="23"/>
      <c r="F45" s="23"/>
      <c r="G45" s="23"/>
      <c r="H45" s="24"/>
      <c r="I45" s="24"/>
      <c r="J45" s="23"/>
      <c r="K45" s="25"/>
      <c r="L45" s="25"/>
      <c r="M45" s="26" t="str">
        <f t="shared" si="0"/>
        <v/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3"/>
      <c r="AB45" t="str">
        <f t="shared" si="1"/>
        <v/>
      </c>
      <c r="AC45">
        <f t="shared" si="2"/>
        <v>0</v>
      </c>
      <c r="AD45">
        <f t="shared" si="3"/>
        <v>0</v>
      </c>
      <c r="AE45" t="str">
        <f t="shared" si="4"/>
        <v/>
      </c>
      <c r="AF45" t="str">
        <f t="shared" si="5"/>
        <v/>
      </c>
      <c r="AG45">
        <f t="shared" si="6"/>
        <v>0</v>
      </c>
      <c r="AH45" t="str">
        <f t="shared" si="7"/>
        <v/>
      </c>
      <c r="AI45" t="str">
        <f t="shared" si="8"/>
        <v/>
      </c>
    </row>
    <row r="46" spans="1:35" x14ac:dyDescent="0.25">
      <c r="A46" s="23"/>
      <c r="B46" s="23"/>
      <c r="C46" s="23"/>
      <c r="D46" s="23"/>
      <c r="E46" s="23"/>
      <c r="F46" s="23"/>
      <c r="G46" s="23"/>
      <c r="H46" s="24"/>
      <c r="I46" s="24"/>
      <c r="J46" s="23"/>
      <c r="K46" s="25"/>
      <c r="L46" s="25"/>
      <c r="M46" s="26" t="str">
        <f t="shared" si="0"/>
        <v/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3"/>
      <c r="AB46" t="str">
        <f t="shared" si="1"/>
        <v/>
      </c>
      <c r="AC46">
        <f t="shared" si="2"/>
        <v>0</v>
      </c>
      <c r="AD46">
        <f t="shared" si="3"/>
        <v>0</v>
      </c>
      <c r="AE46" t="str">
        <f t="shared" si="4"/>
        <v/>
      </c>
      <c r="AF46" t="str">
        <f t="shared" si="5"/>
        <v/>
      </c>
      <c r="AG46">
        <f t="shared" si="6"/>
        <v>0</v>
      </c>
      <c r="AH46" t="str">
        <f t="shared" si="7"/>
        <v/>
      </c>
      <c r="AI46" t="str">
        <f t="shared" si="8"/>
        <v/>
      </c>
    </row>
    <row r="47" spans="1:35" x14ac:dyDescent="0.25">
      <c r="A47" s="23"/>
      <c r="B47" s="23"/>
      <c r="C47" s="23"/>
      <c r="D47" s="23"/>
      <c r="E47" s="23"/>
      <c r="F47" s="23"/>
      <c r="G47" s="23"/>
      <c r="H47" s="24"/>
      <c r="I47" s="24"/>
      <c r="J47" s="23"/>
      <c r="K47" s="25"/>
      <c r="L47" s="25"/>
      <c r="M47" s="26" t="str">
        <f t="shared" si="0"/>
        <v/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3"/>
      <c r="AB47" t="str">
        <f t="shared" si="1"/>
        <v/>
      </c>
      <c r="AC47">
        <f t="shared" si="2"/>
        <v>0</v>
      </c>
      <c r="AD47">
        <f t="shared" si="3"/>
        <v>0</v>
      </c>
      <c r="AE47" t="str">
        <f t="shared" si="4"/>
        <v/>
      </c>
      <c r="AF47" t="str">
        <f t="shared" si="5"/>
        <v/>
      </c>
      <c r="AG47">
        <f t="shared" si="6"/>
        <v>0</v>
      </c>
      <c r="AH47" t="str">
        <f t="shared" si="7"/>
        <v/>
      </c>
      <c r="AI47" t="str">
        <f t="shared" si="8"/>
        <v/>
      </c>
    </row>
    <row r="48" spans="1:35" x14ac:dyDescent="0.25">
      <c r="A48" s="23"/>
      <c r="B48" s="23"/>
      <c r="C48" s="23"/>
      <c r="D48" s="23"/>
      <c r="E48" s="23"/>
      <c r="F48" s="23"/>
      <c r="G48" s="23"/>
      <c r="H48" s="24"/>
      <c r="I48" s="24"/>
      <c r="J48" s="23"/>
      <c r="K48" s="25"/>
      <c r="L48" s="25"/>
      <c r="M48" s="26" t="str">
        <f t="shared" si="0"/>
        <v/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3"/>
      <c r="AB48" t="str">
        <f t="shared" si="1"/>
        <v/>
      </c>
      <c r="AC48">
        <f t="shared" si="2"/>
        <v>0</v>
      </c>
      <c r="AD48">
        <f t="shared" si="3"/>
        <v>0</v>
      </c>
      <c r="AE48" t="str">
        <f t="shared" si="4"/>
        <v/>
      </c>
      <c r="AF48" t="str">
        <f t="shared" si="5"/>
        <v/>
      </c>
      <c r="AG48">
        <f t="shared" si="6"/>
        <v>0</v>
      </c>
      <c r="AH48" t="str">
        <f t="shared" si="7"/>
        <v/>
      </c>
      <c r="AI48" t="str">
        <f t="shared" si="8"/>
        <v/>
      </c>
    </row>
    <row r="49" spans="1:35" x14ac:dyDescent="0.25">
      <c r="A49" s="23"/>
      <c r="B49" s="23"/>
      <c r="C49" s="23"/>
      <c r="D49" s="23"/>
      <c r="E49" s="23"/>
      <c r="F49" s="23"/>
      <c r="G49" s="23"/>
      <c r="H49" s="24"/>
      <c r="I49" s="24"/>
      <c r="J49" s="23"/>
      <c r="K49" s="25"/>
      <c r="L49" s="25"/>
      <c r="M49" s="26" t="str">
        <f t="shared" si="0"/>
        <v/>
      </c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3"/>
      <c r="AB49" t="str">
        <f t="shared" si="1"/>
        <v/>
      </c>
      <c r="AC49">
        <f t="shared" si="2"/>
        <v>0</v>
      </c>
      <c r="AD49">
        <f t="shared" si="3"/>
        <v>0</v>
      </c>
      <c r="AE49" t="str">
        <f t="shared" si="4"/>
        <v/>
      </c>
      <c r="AF49" t="str">
        <f t="shared" si="5"/>
        <v/>
      </c>
      <c r="AG49">
        <f t="shared" si="6"/>
        <v>0</v>
      </c>
      <c r="AH49" t="str">
        <f t="shared" si="7"/>
        <v/>
      </c>
      <c r="AI49" t="str">
        <f t="shared" si="8"/>
        <v/>
      </c>
    </row>
    <row r="50" spans="1:35" x14ac:dyDescent="0.25">
      <c r="A50" s="23"/>
      <c r="B50" s="23"/>
      <c r="C50" s="23"/>
      <c r="D50" s="23"/>
      <c r="E50" s="23"/>
      <c r="F50" s="23"/>
      <c r="G50" s="23"/>
      <c r="H50" s="24"/>
      <c r="I50" s="24"/>
      <c r="J50" s="23"/>
      <c r="K50" s="25"/>
      <c r="L50" s="25"/>
      <c r="M50" s="26" t="str">
        <f t="shared" si="0"/>
        <v/>
      </c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3"/>
      <c r="AB50" t="str">
        <f t="shared" si="1"/>
        <v/>
      </c>
      <c r="AC50">
        <f t="shared" si="2"/>
        <v>0</v>
      </c>
      <c r="AD50">
        <f t="shared" si="3"/>
        <v>0</v>
      </c>
      <c r="AE50" t="str">
        <f t="shared" si="4"/>
        <v/>
      </c>
      <c r="AF50" t="str">
        <f t="shared" si="5"/>
        <v/>
      </c>
      <c r="AG50">
        <f t="shared" si="6"/>
        <v>0</v>
      </c>
      <c r="AH50" t="str">
        <f t="shared" si="7"/>
        <v/>
      </c>
      <c r="AI50" t="str">
        <f t="shared" si="8"/>
        <v/>
      </c>
    </row>
    <row r="51" spans="1:35" x14ac:dyDescent="0.25">
      <c r="A51" s="23"/>
      <c r="B51" s="23"/>
      <c r="C51" s="23"/>
      <c r="D51" s="23"/>
      <c r="E51" s="23"/>
      <c r="F51" s="23"/>
      <c r="G51" s="23"/>
      <c r="H51" s="24"/>
      <c r="I51" s="24"/>
      <c r="J51" s="23"/>
      <c r="K51" s="25"/>
      <c r="L51" s="25"/>
      <c r="M51" s="26" t="str">
        <f t="shared" si="0"/>
        <v/>
      </c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3"/>
      <c r="AB51" t="str">
        <f t="shared" si="1"/>
        <v/>
      </c>
      <c r="AC51">
        <f t="shared" si="2"/>
        <v>0</v>
      </c>
      <c r="AD51">
        <f t="shared" si="3"/>
        <v>0</v>
      </c>
      <c r="AE51" t="str">
        <f t="shared" si="4"/>
        <v/>
      </c>
      <c r="AF51" t="str">
        <f t="shared" si="5"/>
        <v/>
      </c>
      <c r="AG51">
        <f t="shared" si="6"/>
        <v>0</v>
      </c>
      <c r="AH51" t="str">
        <f t="shared" si="7"/>
        <v/>
      </c>
      <c r="AI51" t="str">
        <f t="shared" si="8"/>
        <v/>
      </c>
    </row>
    <row r="52" spans="1:35" x14ac:dyDescent="0.25">
      <c r="A52" s="23"/>
      <c r="B52" s="23"/>
      <c r="C52" s="23"/>
      <c r="D52" s="23"/>
      <c r="E52" s="23"/>
      <c r="F52" s="23"/>
      <c r="G52" s="23"/>
      <c r="H52" s="24"/>
      <c r="I52" s="24"/>
      <c r="J52" s="23"/>
      <c r="K52" s="25"/>
      <c r="L52" s="25"/>
      <c r="M52" s="26" t="str">
        <f t="shared" si="0"/>
        <v/>
      </c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3"/>
      <c r="AB52" t="str">
        <f t="shared" si="1"/>
        <v/>
      </c>
      <c r="AC52">
        <f t="shared" si="2"/>
        <v>0</v>
      </c>
      <c r="AD52">
        <f t="shared" si="3"/>
        <v>0</v>
      </c>
      <c r="AE52" t="str">
        <f t="shared" si="4"/>
        <v/>
      </c>
      <c r="AF52" t="str">
        <f t="shared" si="5"/>
        <v/>
      </c>
      <c r="AG52">
        <f t="shared" si="6"/>
        <v>0</v>
      </c>
      <c r="AH52" t="str">
        <f t="shared" si="7"/>
        <v/>
      </c>
      <c r="AI52" t="str">
        <f t="shared" si="8"/>
        <v/>
      </c>
    </row>
    <row r="53" spans="1:35" x14ac:dyDescent="0.25">
      <c r="A53" s="23"/>
      <c r="B53" s="23"/>
      <c r="C53" s="23"/>
      <c r="D53" s="23"/>
      <c r="E53" s="23"/>
      <c r="F53" s="23"/>
      <c r="G53" s="23"/>
      <c r="H53" s="24"/>
      <c r="I53" s="24"/>
      <c r="J53" s="23"/>
      <c r="K53" s="25"/>
      <c r="L53" s="25"/>
      <c r="M53" s="26" t="str">
        <f t="shared" si="0"/>
        <v/>
      </c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3"/>
      <c r="AB53" t="str">
        <f t="shared" si="1"/>
        <v/>
      </c>
      <c r="AC53">
        <f t="shared" si="2"/>
        <v>0</v>
      </c>
      <c r="AD53">
        <f t="shared" si="3"/>
        <v>0</v>
      </c>
      <c r="AE53" t="str">
        <f t="shared" si="4"/>
        <v/>
      </c>
      <c r="AF53" t="str">
        <f t="shared" si="5"/>
        <v/>
      </c>
      <c r="AG53">
        <f t="shared" si="6"/>
        <v>0</v>
      </c>
      <c r="AH53" t="str">
        <f t="shared" si="7"/>
        <v/>
      </c>
      <c r="AI53" t="str">
        <f t="shared" si="8"/>
        <v/>
      </c>
    </row>
    <row r="54" spans="1:35" x14ac:dyDescent="0.25">
      <c r="A54" s="23"/>
      <c r="B54" s="23"/>
      <c r="C54" s="23"/>
      <c r="D54" s="23"/>
      <c r="E54" s="23"/>
      <c r="F54" s="23"/>
      <c r="G54" s="23"/>
      <c r="H54" s="24"/>
      <c r="I54" s="24"/>
      <c r="J54" s="23"/>
      <c r="K54" s="25"/>
      <c r="L54" s="25"/>
      <c r="M54" s="26" t="str">
        <f t="shared" si="0"/>
        <v/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3"/>
      <c r="AB54" t="str">
        <f t="shared" si="1"/>
        <v/>
      </c>
      <c r="AC54">
        <f t="shared" si="2"/>
        <v>0</v>
      </c>
      <c r="AD54">
        <f t="shared" si="3"/>
        <v>0</v>
      </c>
      <c r="AE54" t="str">
        <f t="shared" si="4"/>
        <v/>
      </c>
      <c r="AF54" t="str">
        <f t="shared" si="5"/>
        <v/>
      </c>
      <c r="AG54">
        <f t="shared" si="6"/>
        <v>0</v>
      </c>
      <c r="AH54" t="str">
        <f t="shared" si="7"/>
        <v/>
      </c>
      <c r="AI54" t="str">
        <f t="shared" si="8"/>
        <v/>
      </c>
    </row>
    <row r="55" spans="1:35" x14ac:dyDescent="0.25">
      <c r="A55" s="23"/>
      <c r="B55" s="23"/>
      <c r="C55" s="23"/>
      <c r="D55" s="23"/>
      <c r="E55" s="23"/>
      <c r="F55" s="23"/>
      <c r="G55" s="23"/>
      <c r="H55" s="24"/>
      <c r="I55" s="24"/>
      <c r="J55" s="23"/>
      <c r="K55" s="25"/>
      <c r="L55" s="25"/>
      <c r="M55" s="26" t="str">
        <f t="shared" si="0"/>
        <v/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3"/>
      <c r="AB55" t="str">
        <f t="shared" si="1"/>
        <v/>
      </c>
      <c r="AC55">
        <f t="shared" si="2"/>
        <v>0</v>
      </c>
      <c r="AD55">
        <f t="shared" si="3"/>
        <v>0</v>
      </c>
      <c r="AE55" t="str">
        <f t="shared" si="4"/>
        <v/>
      </c>
      <c r="AF55" t="str">
        <f t="shared" si="5"/>
        <v/>
      </c>
      <c r="AG55">
        <f t="shared" si="6"/>
        <v>0</v>
      </c>
      <c r="AH55" t="str">
        <f t="shared" si="7"/>
        <v/>
      </c>
      <c r="AI55" t="str">
        <f t="shared" si="8"/>
        <v/>
      </c>
    </row>
    <row r="56" spans="1:35" x14ac:dyDescent="0.25">
      <c r="A56" s="23"/>
      <c r="B56" s="23"/>
      <c r="C56" s="23"/>
      <c r="D56" s="23"/>
      <c r="E56" s="23"/>
      <c r="F56" s="23"/>
      <c r="G56" s="23"/>
      <c r="H56" s="24"/>
      <c r="I56" s="24"/>
      <c r="J56" s="23"/>
      <c r="K56" s="25"/>
      <c r="L56" s="25"/>
      <c r="M56" s="26" t="str">
        <f t="shared" si="0"/>
        <v/>
      </c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3"/>
      <c r="AB56" t="str">
        <f t="shared" si="1"/>
        <v/>
      </c>
      <c r="AC56">
        <f t="shared" si="2"/>
        <v>0</v>
      </c>
      <c r="AD56">
        <f t="shared" si="3"/>
        <v>0</v>
      </c>
      <c r="AE56" t="str">
        <f t="shared" si="4"/>
        <v/>
      </c>
      <c r="AF56" t="str">
        <f t="shared" si="5"/>
        <v/>
      </c>
      <c r="AG56">
        <f t="shared" si="6"/>
        <v>0</v>
      </c>
      <c r="AH56" t="str">
        <f t="shared" si="7"/>
        <v/>
      </c>
      <c r="AI56" t="str">
        <f t="shared" si="8"/>
        <v/>
      </c>
    </row>
    <row r="57" spans="1:35" x14ac:dyDescent="0.25">
      <c r="A57" s="23"/>
      <c r="B57" s="23"/>
      <c r="C57" s="23"/>
      <c r="D57" s="23"/>
      <c r="E57" s="23"/>
      <c r="F57" s="23"/>
      <c r="G57" s="23"/>
      <c r="H57" s="24"/>
      <c r="I57" s="24"/>
      <c r="J57" s="23"/>
      <c r="K57" s="25"/>
      <c r="L57" s="25"/>
      <c r="M57" s="26" t="str">
        <f t="shared" si="0"/>
        <v/>
      </c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3"/>
      <c r="AB57" t="str">
        <f t="shared" si="1"/>
        <v/>
      </c>
      <c r="AC57">
        <f t="shared" si="2"/>
        <v>0</v>
      </c>
      <c r="AD57">
        <f t="shared" si="3"/>
        <v>0</v>
      </c>
      <c r="AE57" t="str">
        <f t="shared" si="4"/>
        <v/>
      </c>
      <c r="AF57" t="str">
        <f t="shared" si="5"/>
        <v/>
      </c>
      <c r="AG57">
        <f t="shared" si="6"/>
        <v>0</v>
      </c>
      <c r="AH57" t="str">
        <f t="shared" si="7"/>
        <v/>
      </c>
      <c r="AI57" t="str">
        <f t="shared" si="8"/>
        <v/>
      </c>
    </row>
    <row r="58" spans="1:35" x14ac:dyDescent="0.25">
      <c r="A58" s="23"/>
      <c r="B58" s="23"/>
      <c r="C58" s="23"/>
      <c r="D58" s="23"/>
      <c r="E58" s="23"/>
      <c r="F58" s="23"/>
      <c r="G58" s="23"/>
      <c r="H58" s="24"/>
      <c r="I58" s="24"/>
      <c r="J58" s="23"/>
      <c r="K58" s="25"/>
      <c r="L58" s="25"/>
      <c r="M58" s="26" t="str">
        <f t="shared" si="0"/>
        <v/>
      </c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3"/>
      <c r="AB58" t="str">
        <f t="shared" si="1"/>
        <v/>
      </c>
      <c r="AC58">
        <f t="shared" si="2"/>
        <v>0</v>
      </c>
      <c r="AD58">
        <f t="shared" si="3"/>
        <v>0</v>
      </c>
      <c r="AE58" t="str">
        <f t="shared" si="4"/>
        <v/>
      </c>
      <c r="AF58" t="str">
        <f t="shared" si="5"/>
        <v/>
      </c>
      <c r="AG58">
        <f t="shared" si="6"/>
        <v>0</v>
      </c>
      <c r="AH58" t="str">
        <f t="shared" si="7"/>
        <v/>
      </c>
      <c r="AI58" t="str">
        <f t="shared" si="8"/>
        <v/>
      </c>
    </row>
    <row r="59" spans="1:35" x14ac:dyDescent="0.25">
      <c r="A59" s="23"/>
      <c r="B59" s="23"/>
      <c r="C59" s="23"/>
      <c r="D59" s="23"/>
      <c r="E59" s="23"/>
      <c r="F59" s="23"/>
      <c r="G59" s="23"/>
      <c r="H59" s="24"/>
      <c r="I59" s="24"/>
      <c r="J59" s="23"/>
      <c r="K59" s="25"/>
      <c r="L59" s="25"/>
      <c r="M59" s="26" t="str">
        <f t="shared" si="0"/>
        <v/>
      </c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3"/>
      <c r="AB59" t="str">
        <f t="shared" si="1"/>
        <v/>
      </c>
      <c r="AC59">
        <f t="shared" si="2"/>
        <v>0</v>
      </c>
      <c r="AD59">
        <f t="shared" si="3"/>
        <v>0</v>
      </c>
      <c r="AE59" t="str">
        <f t="shared" si="4"/>
        <v/>
      </c>
      <c r="AF59" t="str">
        <f t="shared" si="5"/>
        <v/>
      </c>
      <c r="AG59">
        <f t="shared" si="6"/>
        <v>0</v>
      </c>
      <c r="AH59" t="str">
        <f t="shared" si="7"/>
        <v/>
      </c>
      <c r="AI59" t="str">
        <f t="shared" si="8"/>
        <v/>
      </c>
    </row>
    <row r="60" spans="1:35" x14ac:dyDescent="0.25">
      <c r="A60" s="23"/>
      <c r="B60" s="23"/>
      <c r="C60" s="23"/>
      <c r="D60" s="23"/>
      <c r="E60" s="23"/>
      <c r="F60" s="23"/>
      <c r="G60" s="23"/>
      <c r="H60" s="24"/>
      <c r="I60" s="24"/>
      <c r="J60" s="23"/>
      <c r="K60" s="25"/>
      <c r="L60" s="25"/>
      <c r="M60" s="26" t="str">
        <f t="shared" si="0"/>
        <v/>
      </c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3"/>
      <c r="AB60" t="str">
        <f t="shared" si="1"/>
        <v/>
      </c>
      <c r="AC60">
        <f t="shared" si="2"/>
        <v>0</v>
      </c>
      <c r="AD60">
        <f t="shared" si="3"/>
        <v>0</v>
      </c>
      <c r="AE60" t="str">
        <f t="shared" si="4"/>
        <v/>
      </c>
      <c r="AF60" t="str">
        <f t="shared" si="5"/>
        <v/>
      </c>
      <c r="AG60">
        <f t="shared" si="6"/>
        <v>0</v>
      </c>
      <c r="AH60" t="str">
        <f t="shared" si="7"/>
        <v/>
      </c>
      <c r="AI60" t="str">
        <f t="shared" si="8"/>
        <v/>
      </c>
    </row>
    <row r="61" spans="1:35" x14ac:dyDescent="0.25">
      <c r="A61" s="23"/>
      <c r="B61" s="23"/>
      <c r="C61" s="23"/>
      <c r="D61" s="23"/>
      <c r="E61" s="23"/>
      <c r="F61" s="23"/>
      <c r="G61" s="23"/>
      <c r="H61" s="24"/>
      <c r="I61" s="24"/>
      <c r="J61" s="23"/>
      <c r="K61" s="25"/>
      <c r="L61" s="25"/>
      <c r="M61" s="26" t="str">
        <f t="shared" si="0"/>
        <v/>
      </c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3"/>
      <c r="AB61" t="str">
        <f t="shared" si="1"/>
        <v/>
      </c>
      <c r="AC61">
        <f t="shared" si="2"/>
        <v>0</v>
      </c>
      <c r="AD61">
        <f t="shared" si="3"/>
        <v>0</v>
      </c>
      <c r="AE61" t="str">
        <f t="shared" si="4"/>
        <v/>
      </c>
      <c r="AF61" t="str">
        <f t="shared" si="5"/>
        <v/>
      </c>
      <c r="AG61">
        <f t="shared" si="6"/>
        <v>0</v>
      </c>
      <c r="AH61" t="str">
        <f t="shared" si="7"/>
        <v/>
      </c>
      <c r="AI61" t="str">
        <f t="shared" si="8"/>
        <v/>
      </c>
    </row>
    <row r="62" spans="1:35" x14ac:dyDescent="0.25">
      <c r="A62" s="23"/>
      <c r="B62" s="23"/>
      <c r="C62" s="23"/>
      <c r="D62" s="23"/>
      <c r="E62" s="23"/>
      <c r="F62" s="23"/>
      <c r="G62" s="23"/>
      <c r="H62" s="24"/>
      <c r="I62" s="24"/>
      <c r="J62" s="23"/>
      <c r="K62" s="25"/>
      <c r="L62" s="25"/>
      <c r="M62" s="26" t="str">
        <f t="shared" si="0"/>
        <v/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3"/>
      <c r="AB62" t="str">
        <f t="shared" si="1"/>
        <v/>
      </c>
      <c r="AC62">
        <f t="shared" si="2"/>
        <v>0</v>
      </c>
      <c r="AD62">
        <f t="shared" si="3"/>
        <v>0</v>
      </c>
      <c r="AE62" t="str">
        <f t="shared" si="4"/>
        <v/>
      </c>
      <c r="AF62" t="str">
        <f t="shared" si="5"/>
        <v/>
      </c>
      <c r="AG62">
        <f t="shared" si="6"/>
        <v>0</v>
      </c>
      <c r="AH62" t="str">
        <f t="shared" si="7"/>
        <v/>
      </c>
      <c r="AI62" t="str">
        <f t="shared" si="8"/>
        <v/>
      </c>
    </row>
    <row r="63" spans="1:35" x14ac:dyDescent="0.25">
      <c r="A63" s="23"/>
      <c r="B63" s="23"/>
      <c r="C63" s="23"/>
      <c r="D63" s="23"/>
      <c r="E63" s="23"/>
      <c r="F63" s="23"/>
      <c r="G63" s="23"/>
      <c r="H63" s="24"/>
      <c r="I63" s="24"/>
      <c r="J63" s="23"/>
      <c r="K63" s="25"/>
      <c r="L63" s="25"/>
      <c r="M63" s="26" t="str">
        <f t="shared" si="0"/>
        <v/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3"/>
      <c r="AB63" t="str">
        <f t="shared" si="1"/>
        <v/>
      </c>
      <c r="AC63">
        <f t="shared" si="2"/>
        <v>0</v>
      </c>
      <c r="AD63">
        <f t="shared" si="3"/>
        <v>0</v>
      </c>
      <c r="AE63" t="str">
        <f t="shared" si="4"/>
        <v/>
      </c>
      <c r="AF63" t="str">
        <f t="shared" si="5"/>
        <v/>
      </c>
      <c r="AG63">
        <f t="shared" si="6"/>
        <v>0</v>
      </c>
      <c r="AH63" t="str">
        <f t="shared" si="7"/>
        <v/>
      </c>
      <c r="AI63" t="str">
        <f t="shared" si="8"/>
        <v/>
      </c>
    </row>
    <row r="64" spans="1:35" x14ac:dyDescent="0.25">
      <c r="A64" s="23"/>
      <c r="B64" s="23"/>
      <c r="C64" s="23"/>
      <c r="D64" s="23"/>
      <c r="E64" s="23"/>
      <c r="F64" s="23"/>
      <c r="G64" s="23"/>
      <c r="H64" s="24"/>
      <c r="I64" s="24"/>
      <c r="J64" s="23"/>
      <c r="K64" s="25"/>
      <c r="L64" s="25"/>
      <c r="M64" s="26" t="str">
        <f t="shared" si="0"/>
        <v/>
      </c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3"/>
      <c r="AB64" t="str">
        <f t="shared" si="1"/>
        <v/>
      </c>
      <c r="AC64">
        <f t="shared" si="2"/>
        <v>0</v>
      </c>
      <c r="AD64">
        <f t="shared" si="3"/>
        <v>0</v>
      </c>
      <c r="AE64" t="str">
        <f t="shared" si="4"/>
        <v/>
      </c>
      <c r="AF64" t="str">
        <f t="shared" si="5"/>
        <v/>
      </c>
      <c r="AG64">
        <f t="shared" si="6"/>
        <v>0</v>
      </c>
      <c r="AH64" t="str">
        <f t="shared" si="7"/>
        <v/>
      </c>
      <c r="AI64" t="str">
        <f t="shared" si="8"/>
        <v/>
      </c>
    </row>
    <row r="65" spans="1:35" x14ac:dyDescent="0.25">
      <c r="A65" s="23"/>
      <c r="B65" s="23"/>
      <c r="C65" s="23"/>
      <c r="D65" s="23"/>
      <c r="E65" s="23"/>
      <c r="F65" s="23"/>
      <c r="G65" s="23"/>
      <c r="H65" s="24"/>
      <c r="I65" s="24"/>
      <c r="J65" s="23"/>
      <c r="K65" s="25"/>
      <c r="L65" s="25"/>
      <c r="M65" s="26" t="str">
        <f t="shared" si="0"/>
        <v/>
      </c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3"/>
      <c r="AB65" t="str">
        <f t="shared" si="1"/>
        <v/>
      </c>
      <c r="AC65">
        <f t="shared" si="2"/>
        <v>0</v>
      </c>
      <c r="AD65">
        <f t="shared" si="3"/>
        <v>0</v>
      </c>
      <c r="AE65" t="str">
        <f t="shared" si="4"/>
        <v/>
      </c>
      <c r="AF65" t="str">
        <f t="shared" si="5"/>
        <v/>
      </c>
      <c r="AG65">
        <f t="shared" si="6"/>
        <v>0</v>
      </c>
      <c r="AH65" t="str">
        <f t="shared" si="7"/>
        <v/>
      </c>
      <c r="AI65" t="str">
        <f t="shared" si="8"/>
        <v/>
      </c>
    </row>
    <row r="66" spans="1:35" x14ac:dyDescent="0.25">
      <c r="A66" s="23"/>
      <c r="B66" s="23"/>
      <c r="C66" s="23"/>
      <c r="D66" s="23"/>
      <c r="E66" s="23"/>
      <c r="F66" s="23"/>
      <c r="G66" s="23"/>
      <c r="H66" s="24"/>
      <c r="I66" s="24"/>
      <c r="J66" s="23"/>
      <c r="K66" s="25"/>
      <c r="L66" s="25"/>
      <c r="M66" s="26" t="str">
        <f t="shared" ref="M66:M129" si="9">IF(AB66="","",IF(AE66&lt;&gt;"","⚠ "&amp;AE66,"✔ "&amp;AI66&amp;IF(AG66&gt;0," · ⚠ "&amp;AG66&amp;IF(AG66=1," fecha cae"," fechas caen")&amp;" en festivo"&amp;IF(OR(AB66="Un día",AB66="Fechas específicas"),": revise la fecha",": se pasará al día hábil siguiente"),"")))</f>
        <v/>
      </c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3"/>
      <c r="AB66" t="str">
        <f t="shared" ref="AB66:AB129" si="10">IF(COUNTA(A66:L66,N66:Y66)=0,"",IF(OR(J66="En fechas específicas",AND(OR(J66="",J66="No"),K66="",COUNT(N66:Y66)&gt;0)),"Fechas específicas",IF(OR(J66="",J66="No"),IF(OR(L66="",L66=K66),"Un día","Varios días"),J66)))</f>
        <v/>
      </c>
      <c r="AC66">
        <f t="shared" ref="AC66:AC129" si="11">IF(AB66="Cada mes",1,IF(AB66="Cada 2 meses",2,IF(AB66="Cada 3 meses",3,IF(AB66="Cada 6 meses",6,0))))</f>
        <v>0</v>
      </c>
      <c r="AD66">
        <f t="shared" ref="AD66:AD129" si="12">IF(ISNUMBER(K66),INT((DAY(K66)-1)/7)+1,0)</f>
        <v>0</v>
      </c>
      <c r="AE66" t="str">
        <f t="shared" ref="AE66:AE129" si="13">IF(AB66="","",IF(A66="","Falta el nombre de la actividad",IF(B66="","Falta la categoría",IF(COUNTIF(Lista_Categoria,B66)=0,"Elija la categoría de la lista",IF(AND(F66="",SedePrincipal=""),"Falta la sede: elíjala aquí o en «1. Datos del área»",IF(AND(F66&lt;&gt;"",COUNTIF(Lista_Sede,F66)=0),"Elija la sede de la lista",IF(AND(E66="",CalendarioPrincipal=""),"Falta el calendario (Académico o Administrativo): elíjalo aquí o en «1. Datos del área»",IF(AND(E66&lt;&gt;"",COUNTIF(Lista_Calendario,E66)=0),"Elija el calendario de la lista",IF(G66="","Falta el lugar",IF(OR(AND(H66&lt;&gt;"",NOT(ISNUMBER(H66))),AND(I66&lt;&gt;"",NOT(ISNUMBER(I66)))),"Hora no válida: use hh:mm (ej. 14:30)",IF(AND(ISNUMBER(H66),ISNUMBER(I66),I66&lt;H66),"La hora fin es antes de la hora inicio",IF(AND(J66&lt;&gt;"",COUNTIF(Lista_Repite,J66)=0),"Elija una opción de la lista «¿Se repite?»",IF(AB66="Fechas específicas",IF(COUNTA(N66:Y66)&lt;&gt;COUNT(N66:Y66),"Alguna fecha de Fecha 1 a Fecha 12 no es válida: use dd/mm/aaaa",IF(COUNT(N66:Y66)=0,"Escriba las fechas en Fecha 1, Fecha 2…","")),IF(COUNTA(N66:Y66)&gt;0,"Escribió fechas en Fecha 1…12: elija «En fechas específicas» o bórrelas",IF(K66="","Falta la fecha en «Desde»",IF(NOT(ISNUMBER(K66)),"La fecha «Desde» no es válida: use dd/mm/aaaa",IF(AND(L66&lt;&gt;"",NOT(ISNUMBER(L66))),"La fecha «Hasta» no es válida: use dd/mm/aaaa",IF(AND(ISNUMBER(L66),L66&lt;K66),"«Hasta» es antes de «Desde»",IF(AND(AB66&lt;&gt;"Un día",AB66&lt;&gt;"Varios días",L66=""),"Falta «Hasta»: la última fecha en que se repite",IF(AND(ISNUMBER(L66),L66-K66&gt;730),"El periodo no puede pasar de 2 años",""))))))))))))))))))))</f>
        <v/>
      </c>
      <c r="AF66" t="str">
        <f t="shared" ref="AF66:AF129" si="14">IF(OR(AB66="",AE66&lt;&gt;""),"",IF(AB66="Fechas específicas",COUNT(N66:Y66),IF(OR(AB66="Un día",AB66="Varios días"),1,SUMPRODUCT((Dias&lt;=L66-K66)*((AB66="Cada semana")*(MOD(Dias,7)=0)+(AB66="Cada 15 días")*(MOD(Dias,14)=0)+(AC66&gt;0)*(WEEKDAY(K66+Dias)=WEEKDAY(K66))*((AD66=5)*(MONTH(K66+Dias+7)&lt;&gt;MONTH(K66+Dias))+(AD66&lt;5)*(INT((DAY(K66+Dias)-1)/7)+1=AD66))*(MOD((YEAR(K66+Dias)-YEAR(K66))*12+MONTH(K66+Dias)-MONTH(K66),MAX(AC66,1))=0))))))</f>
        <v/>
      </c>
      <c r="AG66">
        <f t="shared" ref="AG66:AG129" si="15">IF(AF66="",0,IF(AB66="Fechas específicas",SUMPRODUCT(COUNTIF(Festivos,N66:Y66)),IF(AB66="Un día",COUNTIF(Festivos,K66),IF(AB66="Varios días",0,SUMPRODUCT((Dias&lt;=L66-K66)*((AB66="Cada semana")*(MOD(Dias,7)=0)+(AB66="Cada 15 días")*(MOD(Dias,14)=0)+(AC66&gt;0)*(WEEKDAY(K66+Dias)=WEEKDAY(K66))*((AD66=5)*(MONTH(K66+Dias+7)&lt;&gt;MONTH(K66+Dias))+(AD66&lt;5)*(INT((DAY(K66+Dias)-1)/7)+1=AD66))*(MOD((YEAR(K66+Dias)-YEAR(K66))*12+MONTH(K66+Dias)-MONTH(K66),MAX(AC66,1))=0))*COUNTIF(Festivos,K66+Dias))))))</f>
        <v>0</v>
      </c>
      <c r="AH66" t="str">
        <f t="shared" ref="AH66:AH129" si="16">IF(AB66&lt;&gt;"Fechas específicas","",IF(ISNUMBER(N66),DAY(N66)&amp;" "&amp;CHOOSE(MONTH(N66),"ene","feb","mar","abr","may","jun","jul","ago","sep","oct","nov","dic")&amp;", ","")&amp;IF(ISNUMBER(O66),DAY(O66)&amp;" "&amp;CHOOSE(MONTH(O66),"ene","feb","mar","abr","may","jun","jul","ago","sep","oct","nov","dic")&amp;", ","")&amp;IF(ISNUMBER(P66),DAY(P66)&amp;" "&amp;CHOOSE(MONTH(P66),"ene","feb","mar","abr","may","jun","jul","ago","sep","oct","nov","dic")&amp;", ","")&amp;IF(ISNUMBER(Q66),DAY(Q66)&amp;" "&amp;CHOOSE(MONTH(Q66),"ene","feb","mar","abr","may","jun","jul","ago","sep","oct","nov","dic")&amp;", ","")&amp;IF(ISNUMBER(R66),DAY(R66)&amp;" "&amp;CHOOSE(MONTH(R66),"ene","feb","mar","abr","may","jun","jul","ago","sep","oct","nov","dic")&amp;", ","")&amp;IF(ISNUMBER(S66),DAY(S66)&amp;" "&amp;CHOOSE(MONTH(S66),"ene","feb","mar","abr","may","jun","jul","ago","sep","oct","nov","dic")&amp;", ","")&amp;IF(ISNUMBER(T66),DAY(T66)&amp;" "&amp;CHOOSE(MONTH(T66),"ene","feb","mar","abr","may","jun","jul","ago","sep","oct","nov","dic")&amp;", ","")&amp;IF(ISNUMBER(U66),DAY(U66)&amp;" "&amp;CHOOSE(MONTH(U66),"ene","feb","mar","abr","may","jun","jul","ago","sep","oct","nov","dic")&amp;", ","")&amp;IF(ISNUMBER(V66),DAY(V66)&amp;" "&amp;CHOOSE(MONTH(V66),"ene","feb","mar","abr","may","jun","jul","ago","sep","oct","nov","dic")&amp;", ","")&amp;IF(ISNUMBER(W66),DAY(W66)&amp;" "&amp;CHOOSE(MONTH(W66),"ene","feb","mar","abr","may","jun","jul","ago","sep","oct","nov","dic")&amp;", ","")&amp;IF(ISNUMBER(X66),DAY(X66)&amp;" "&amp;CHOOSE(MONTH(X66),"ene","feb","mar","abr","may","jun","jul","ago","sep","oct","nov","dic")&amp;", ","")&amp;IF(ISNUMBER(Y66),DAY(Y66)&amp;" "&amp;CHOOSE(MONTH(Y66),"ene","feb","mar","abr","may","jun","jul","ago","sep","oct","nov","dic")&amp;", ",""))</f>
        <v/>
      </c>
      <c r="AI66" t="str">
        <f t="shared" ref="AI66:AI129" si="17">IF(OR(AB66="",AE66&lt;&gt;""),"",IF(AB66="Un día","Un día: "&amp;CHOOSE(WEEKDAY(K66,2),"lunes","martes","miércoles","jueves","viernes","sábado","domingo")&amp;" "&amp;TEXT(DAY(K66),"00")&amp;"/"&amp;TEXT(MONTH(K66),"00")&amp;"/"&amp;YEAR(K66),IF(AB66="Varios días","Del "&amp;TEXT(DAY(K66),"00")&amp;"/"&amp;TEXT(MONTH(K66),"00")&amp;"/"&amp;YEAR(K66)&amp;" al "&amp;TEXT(DAY(L66),"00")&amp;"/"&amp;TEXT(MONTH(L66),"00")&amp;"/"&amp;YEAR(L66)&amp;" ("&amp;(L66-K66+1)&amp;" días)",IF(AB66="Fechas específicas",AF66&amp;IF(AF66=1," fecha: "," fechas: ")&amp;LEFT(AH66,LEN(AH66)-2),IF(AB66="Cada semana","Todos los "&amp;CHOOSE(WEEKDAY(K66,2),"lunes","martes","miércoles","jueves","viernes","sábados","domingos"),IF(AB66="Cada 15 días","Cada 15 días ("&amp;CHOOSE(WEEKDAY(K66,2),"lunes","martes","miércoles","jueves","viernes","sábados","domingos")&amp;" de por medio)",CHOOSE(AD66,"Primer","Segundo","Tercer","Cuarto","Último")&amp;" "&amp;CHOOSE(WEEKDAY(K66,2),"lunes","martes","miércoles","jueves","viernes","sábado","domingo")&amp;IF(AC66=1," de cada mes"," cada "&amp;AC66&amp;" meses")))&amp;", del "&amp;TEXT(DAY(K66),"00")&amp;"/"&amp;TEXT(MONTH(K66),"00")&amp;"/"&amp;YEAR(K66)&amp;" al "&amp;TEXT(DAY(L66),"00")&amp;"/"&amp;TEXT(MONTH(L66),"00")&amp;"/"&amp;YEAR(L66)&amp;" · "&amp;AF66&amp;IF(AF66=1," fecha"," fechas")))))</f>
        <v/>
      </c>
    </row>
    <row r="67" spans="1:35" x14ac:dyDescent="0.25">
      <c r="A67" s="23"/>
      <c r="B67" s="23"/>
      <c r="C67" s="23"/>
      <c r="D67" s="23"/>
      <c r="E67" s="23"/>
      <c r="F67" s="23"/>
      <c r="G67" s="23"/>
      <c r="H67" s="24"/>
      <c r="I67" s="24"/>
      <c r="J67" s="23"/>
      <c r="K67" s="25"/>
      <c r="L67" s="25"/>
      <c r="M67" s="26" t="str">
        <f t="shared" si="9"/>
        <v/>
      </c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3"/>
      <c r="AB67" t="str">
        <f t="shared" si="10"/>
        <v/>
      </c>
      <c r="AC67">
        <f t="shared" si="11"/>
        <v>0</v>
      </c>
      <c r="AD67">
        <f t="shared" si="12"/>
        <v>0</v>
      </c>
      <c r="AE67" t="str">
        <f t="shared" si="13"/>
        <v/>
      </c>
      <c r="AF67" t="str">
        <f t="shared" si="14"/>
        <v/>
      </c>
      <c r="AG67">
        <f t="shared" si="15"/>
        <v>0</v>
      </c>
      <c r="AH67" t="str">
        <f t="shared" si="16"/>
        <v/>
      </c>
      <c r="AI67" t="str">
        <f t="shared" si="17"/>
        <v/>
      </c>
    </row>
    <row r="68" spans="1:35" x14ac:dyDescent="0.25">
      <c r="A68" s="23"/>
      <c r="B68" s="23"/>
      <c r="C68" s="23"/>
      <c r="D68" s="23"/>
      <c r="E68" s="23"/>
      <c r="F68" s="23"/>
      <c r="G68" s="23"/>
      <c r="H68" s="24"/>
      <c r="I68" s="24"/>
      <c r="J68" s="23"/>
      <c r="K68" s="25"/>
      <c r="L68" s="25"/>
      <c r="M68" s="26" t="str">
        <f t="shared" si="9"/>
        <v/>
      </c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3"/>
      <c r="AB68" t="str">
        <f t="shared" si="10"/>
        <v/>
      </c>
      <c r="AC68">
        <f t="shared" si="11"/>
        <v>0</v>
      </c>
      <c r="AD68">
        <f t="shared" si="12"/>
        <v>0</v>
      </c>
      <c r="AE68" t="str">
        <f t="shared" si="13"/>
        <v/>
      </c>
      <c r="AF68" t="str">
        <f t="shared" si="14"/>
        <v/>
      </c>
      <c r="AG68">
        <f t="shared" si="15"/>
        <v>0</v>
      </c>
      <c r="AH68" t="str">
        <f t="shared" si="16"/>
        <v/>
      </c>
      <c r="AI68" t="str">
        <f t="shared" si="17"/>
        <v/>
      </c>
    </row>
    <row r="69" spans="1:35" x14ac:dyDescent="0.25">
      <c r="A69" s="23"/>
      <c r="B69" s="23"/>
      <c r="C69" s="23"/>
      <c r="D69" s="23"/>
      <c r="E69" s="23"/>
      <c r="F69" s="23"/>
      <c r="G69" s="23"/>
      <c r="H69" s="24"/>
      <c r="I69" s="24"/>
      <c r="J69" s="23"/>
      <c r="K69" s="25"/>
      <c r="L69" s="25"/>
      <c r="M69" s="26" t="str">
        <f t="shared" si="9"/>
        <v/>
      </c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3"/>
      <c r="AB69" t="str">
        <f t="shared" si="10"/>
        <v/>
      </c>
      <c r="AC69">
        <f t="shared" si="11"/>
        <v>0</v>
      </c>
      <c r="AD69">
        <f t="shared" si="12"/>
        <v>0</v>
      </c>
      <c r="AE69" t="str">
        <f t="shared" si="13"/>
        <v/>
      </c>
      <c r="AF69" t="str">
        <f t="shared" si="14"/>
        <v/>
      </c>
      <c r="AG69">
        <f t="shared" si="15"/>
        <v>0</v>
      </c>
      <c r="AH69" t="str">
        <f t="shared" si="16"/>
        <v/>
      </c>
      <c r="AI69" t="str">
        <f t="shared" si="17"/>
        <v/>
      </c>
    </row>
    <row r="70" spans="1:35" x14ac:dyDescent="0.25">
      <c r="A70" s="23"/>
      <c r="B70" s="23"/>
      <c r="C70" s="23"/>
      <c r="D70" s="23"/>
      <c r="E70" s="23"/>
      <c r="F70" s="23"/>
      <c r="G70" s="23"/>
      <c r="H70" s="24"/>
      <c r="I70" s="24"/>
      <c r="J70" s="23"/>
      <c r="K70" s="25"/>
      <c r="L70" s="25"/>
      <c r="M70" s="26" t="str">
        <f t="shared" si="9"/>
        <v/>
      </c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3"/>
      <c r="AB70" t="str">
        <f t="shared" si="10"/>
        <v/>
      </c>
      <c r="AC70">
        <f t="shared" si="11"/>
        <v>0</v>
      </c>
      <c r="AD70">
        <f t="shared" si="12"/>
        <v>0</v>
      </c>
      <c r="AE70" t="str">
        <f t="shared" si="13"/>
        <v/>
      </c>
      <c r="AF70" t="str">
        <f t="shared" si="14"/>
        <v/>
      </c>
      <c r="AG70">
        <f t="shared" si="15"/>
        <v>0</v>
      </c>
      <c r="AH70" t="str">
        <f t="shared" si="16"/>
        <v/>
      </c>
      <c r="AI70" t="str">
        <f t="shared" si="17"/>
        <v/>
      </c>
    </row>
    <row r="71" spans="1:35" x14ac:dyDescent="0.25">
      <c r="A71" s="23"/>
      <c r="B71" s="23"/>
      <c r="C71" s="23"/>
      <c r="D71" s="23"/>
      <c r="E71" s="23"/>
      <c r="F71" s="23"/>
      <c r="G71" s="23"/>
      <c r="H71" s="24"/>
      <c r="I71" s="24"/>
      <c r="J71" s="23"/>
      <c r="K71" s="25"/>
      <c r="L71" s="25"/>
      <c r="M71" s="26" t="str">
        <f t="shared" si="9"/>
        <v/>
      </c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3"/>
      <c r="AB71" t="str">
        <f t="shared" si="10"/>
        <v/>
      </c>
      <c r="AC71">
        <f t="shared" si="11"/>
        <v>0</v>
      </c>
      <c r="AD71">
        <f t="shared" si="12"/>
        <v>0</v>
      </c>
      <c r="AE71" t="str">
        <f t="shared" si="13"/>
        <v/>
      </c>
      <c r="AF71" t="str">
        <f t="shared" si="14"/>
        <v/>
      </c>
      <c r="AG71">
        <f t="shared" si="15"/>
        <v>0</v>
      </c>
      <c r="AH71" t="str">
        <f t="shared" si="16"/>
        <v/>
      </c>
      <c r="AI71" t="str">
        <f t="shared" si="17"/>
        <v/>
      </c>
    </row>
    <row r="72" spans="1:35" x14ac:dyDescent="0.25">
      <c r="A72" s="23"/>
      <c r="B72" s="23"/>
      <c r="C72" s="23"/>
      <c r="D72" s="23"/>
      <c r="E72" s="23"/>
      <c r="F72" s="23"/>
      <c r="G72" s="23"/>
      <c r="H72" s="24"/>
      <c r="I72" s="24"/>
      <c r="J72" s="23"/>
      <c r="K72" s="25"/>
      <c r="L72" s="25"/>
      <c r="M72" s="26" t="str">
        <f t="shared" si="9"/>
        <v/>
      </c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3"/>
      <c r="AB72" t="str">
        <f t="shared" si="10"/>
        <v/>
      </c>
      <c r="AC72">
        <f t="shared" si="11"/>
        <v>0</v>
      </c>
      <c r="AD72">
        <f t="shared" si="12"/>
        <v>0</v>
      </c>
      <c r="AE72" t="str">
        <f t="shared" si="13"/>
        <v/>
      </c>
      <c r="AF72" t="str">
        <f t="shared" si="14"/>
        <v/>
      </c>
      <c r="AG72">
        <f t="shared" si="15"/>
        <v>0</v>
      </c>
      <c r="AH72" t="str">
        <f t="shared" si="16"/>
        <v/>
      </c>
      <c r="AI72" t="str">
        <f t="shared" si="17"/>
        <v/>
      </c>
    </row>
    <row r="73" spans="1:35" x14ac:dyDescent="0.25">
      <c r="A73" s="23"/>
      <c r="B73" s="23"/>
      <c r="C73" s="23"/>
      <c r="D73" s="23"/>
      <c r="E73" s="23"/>
      <c r="F73" s="23"/>
      <c r="G73" s="23"/>
      <c r="H73" s="24"/>
      <c r="I73" s="24"/>
      <c r="J73" s="23"/>
      <c r="K73" s="25"/>
      <c r="L73" s="25"/>
      <c r="M73" s="26" t="str">
        <f t="shared" si="9"/>
        <v/>
      </c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3"/>
      <c r="AB73" t="str">
        <f t="shared" si="10"/>
        <v/>
      </c>
      <c r="AC73">
        <f t="shared" si="11"/>
        <v>0</v>
      </c>
      <c r="AD73">
        <f t="shared" si="12"/>
        <v>0</v>
      </c>
      <c r="AE73" t="str">
        <f t="shared" si="13"/>
        <v/>
      </c>
      <c r="AF73" t="str">
        <f t="shared" si="14"/>
        <v/>
      </c>
      <c r="AG73">
        <f t="shared" si="15"/>
        <v>0</v>
      </c>
      <c r="AH73" t="str">
        <f t="shared" si="16"/>
        <v/>
      </c>
      <c r="AI73" t="str">
        <f t="shared" si="17"/>
        <v/>
      </c>
    </row>
    <row r="74" spans="1:35" x14ac:dyDescent="0.25">
      <c r="A74" s="23"/>
      <c r="B74" s="23"/>
      <c r="C74" s="23"/>
      <c r="D74" s="23"/>
      <c r="E74" s="23"/>
      <c r="F74" s="23"/>
      <c r="G74" s="23"/>
      <c r="H74" s="24"/>
      <c r="I74" s="24"/>
      <c r="J74" s="23"/>
      <c r="K74" s="25"/>
      <c r="L74" s="25"/>
      <c r="M74" s="26" t="str">
        <f t="shared" si="9"/>
        <v/>
      </c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3"/>
      <c r="AB74" t="str">
        <f t="shared" si="10"/>
        <v/>
      </c>
      <c r="AC74">
        <f t="shared" si="11"/>
        <v>0</v>
      </c>
      <c r="AD74">
        <f t="shared" si="12"/>
        <v>0</v>
      </c>
      <c r="AE74" t="str">
        <f t="shared" si="13"/>
        <v/>
      </c>
      <c r="AF74" t="str">
        <f t="shared" si="14"/>
        <v/>
      </c>
      <c r="AG74">
        <f t="shared" si="15"/>
        <v>0</v>
      </c>
      <c r="AH74" t="str">
        <f t="shared" si="16"/>
        <v/>
      </c>
      <c r="AI74" t="str">
        <f t="shared" si="17"/>
        <v/>
      </c>
    </row>
    <row r="75" spans="1:35" x14ac:dyDescent="0.25">
      <c r="A75" s="23"/>
      <c r="B75" s="23"/>
      <c r="C75" s="23"/>
      <c r="D75" s="23"/>
      <c r="E75" s="23"/>
      <c r="F75" s="23"/>
      <c r="G75" s="23"/>
      <c r="H75" s="24"/>
      <c r="I75" s="24"/>
      <c r="J75" s="23"/>
      <c r="K75" s="25"/>
      <c r="L75" s="25"/>
      <c r="M75" s="26" t="str">
        <f t="shared" si="9"/>
        <v/>
      </c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3"/>
      <c r="AB75" t="str">
        <f t="shared" si="10"/>
        <v/>
      </c>
      <c r="AC75">
        <f t="shared" si="11"/>
        <v>0</v>
      </c>
      <c r="AD75">
        <f t="shared" si="12"/>
        <v>0</v>
      </c>
      <c r="AE75" t="str">
        <f t="shared" si="13"/>
        <v/>
      </c>
      <c r="AF75" t="str">
        <f t="shared" si="14"/>
        <v/>
      </c>
      <c r="AG75">
        <f t="shared" si="15"/>
        <v>0</v>
      </c>
      <c r="AH75" t="str">
        <f t="shared" si="16"/>
        <v/>
      </c>
      <c r="AI75" t="str">
        <f t="shared" si="17"/>
        <v/>
      </c>
    </row>
    <row r="76" spans="1:35" x14ac:dyDescent="0.25">
      <c r="A76" s="23"/>
      <c r="B76" s="23"/>
      <c r="C76" s="23"/>
      <c r="D76" s="23"/>
      <c r="E76" s="23"/>
      <c r="F76" s="23"/>
      <c r="G76" s="23"/>
      <c r="H76" s="24"/>
      <c r="I76" s="24"/>
      <c r="J76" s="23"/>
      <c r="K76" s="25"/>
      <c r="L76" s="25"/>
      <c r="M76" s="26" t="str">
        <f t="shared" si="9"/>
        <v/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3"/>
      <c r="AB76" t="str">
        <f t="shared" si="10"/>
        <v/>
      </c>
      <c r="AC76">
        <f t="shared" si="11"/>
        <v>0</v>
      </c>
      <c r="AD76">
        <f t="shared" si="12"/>
        <v>0</v>
      </c>
      <c r="AE76" t="str">
        <f t="shared" si="13"/>
        <v/>
      </c>
      <c r="AF76" t="str">
        <f t="shared" si="14"/>
        <v/>
      </c>
      <c r="AG76">
        <f t="shared" si="15"/>
        <v>0</v>
      </c>
      <c r="AH76" t="str">
        <f t="shared" si="16"/>
        <v/>
      </c>
      <c r="AI76" t="str">
        <f t="shared" si="17"/>
        <v/>
      </c>
    </row>
    <row r="77" spans="1:35" x14ac:dyDescent="0.25">
      <c r="A77" s="23"/>
      <c r="B77" s="23"/>
      <c r="C77" s="23"/>
      <c r="D77" s="23"/>
      <c r="E77" s="23"/>
      <c r="F77" s="23"/>
      <c r="G77" s="23"/>
      <c r="H77" s="24"/>
      <c r="I77" s="24"/>
      <c r="J77" s="23"/>
      <c r="K77" s="25"/>
      <c r="L77" s="25"/>
      <c r="M77" s="26" t="str">
        <f t="shared" si="9"/>
        <v/>
      </c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3"/>
      <c r="AB77" t="str">
        <f t="shared" si="10"/>
        <v/>
      </c>
      <c r="AC77">
        <f t="shared" si="11"/>
        <v>0</v>
      </c>
      <c r="AD77">
        <f t="shared" si="12"/>
        <v>0</v>
      </c>
      <c r="AE77" t="str">
        <f t="shared" si="13"/>
        <v/>
      </c>
      <c r="AF77" t="str">
        <f t="shared" si="14"/>
        <v/>
      </c>
      <c r="AG77">
        <f t="shared" si="15"/>
        <v>0</v>
      </c>
      <c r="AH77" t="str">
        <f t="shared" si="16"/>
        <v/>
      </c>
      <c r="AI77" t="str">
        <f t="shared" si="17"/>
        <v/>
      </c>
    </row>
    <row r="78" spans="1:35" x14ac:dyDescent="0.25">
      <c r="A78" s="23"/>
      <c r="B78" s="23"/>
      <c r="C78" s="23"/>
      <c r="D78" s="23"/>
      <c r="E78" s="23"/>
      <c r="F78" s="23"/>
      <c r="G78" s="23"/>
      <c r="H78" s="24"/>
      <c r="I78" s="24"/>
      <c r="J78" s="23"/>
      <c r="K78" s="25"/>
      <c r="L78" s="25"/>
      <c r="M78" s="26" t="str">
        <f t="shared" si="9"/>
        <v/>
      </c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3"/>
      <c r="AB78" t="str">
        <f t="shared" si="10"/>
        <v/>
      </c>
      <c r="AC78">
        <f t="shared" si="11"/>
        <v>0</v>
      </c>
      <c r="AD78">
        <f t="shared" si="12"/>
        <v>0</v>
      </c>
      <c r="AE78" t="str">
        <f t="shared" si="13"/>
        <v/>
      </c>
      <c r="AF78" t="str">
        <f t="shared" si="14"/>
        <v/>
      </c>
      <c r="AG78">
        <f t="shared" si="15"/>
        <v>0</v>
      </c>
      <c r="AH78" t="str">
        <f t="shared" si="16"/>
        <v/>
      </c>
      <c r="AI78" t="str">
        <f t="shared" si="17"/>
        <v/>
      </c>
    </row>
    <row r="79" spans="1:35" x14ac:dyDescent="0.25">
      <c r="A79" s="23"/>
      <c r="B79" s="23"/>
      <c r="C79" s="23"/>
      <c r="D79" s="23"/>
      <c r="E79" s="23"/>
      <c r="F79" s="23"/>
      <c r="G79" s="23"/>
      <c r="H79" s="24"/>
      <c r="I79" s="24"/>
      <c r="J79" s="23"/>
      <c r="K79" s="25"/>
      <c r="L79" s="25"/>
      <c r="M79" s="26" t="str">
        <f t="shared" si="9"/>
        <v/>
      </c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3"/>
      <c r="AB79" t="str">
        <f t="shared" si="10"/>
        <v/>
      </c>
      <c r="AC79">
        <f t="shared" si="11"/>
        <v>0</v>
      </c>
      <c r="AD79">
        <f t="shared" si="12"/>
        <v>0</v>
      </c>
      <c r="AE79" t="str">
        <f t="shared" si="13"/>
        <v/>
      </c>
      <c r="AF79" t="str">
        <f t="shared" si="14"/>
        <v/>
      </c>
      <c r="AG79">
        <f t="shared" si="15"/>
        <v>0</v>
      </c>
      <c r="AH79" t="str">
        <f t="shared" si="16"/>
        <v/>
      </c>
      <c r="AI79" t="str">
        <f t="shared" si="17"/>
        <v/>
      </c>
    </row>
    <row r="80" spans="1:35" x14ac:dyDescent="0.25">
      <c r="A80" s="23"/>
      <c r="B80" s="23"/>
      <c r="C80" s="23"/>
      <c r="D80" s="23"/>
      <c r="E80" s="23"/>
      <c r="F80" s="23"/>
      <c r="G80" s="23"/>
      <c r="H80" s="24"/>
      <c r="I80" s="24"/>
      <c r="J80" s="23"/>
      <c r="K80" s="25"/>
      <c r="L80" s="25"/>
      <c r="M80" s="26" t="str">
        <f t="shared" si="9"/>
        <v/>
      </c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3"/>
      <c r="AB80" t="str">
        <f t="shared" si="10"/>
        <v/>
      </c>
      <c r="AC80">
        <f t="shared" si="11"/>
        <v>0</v>
      </c>
      <c r="AD80">
        <f t="shared" si="12"/>
        <v>0</v>
      </c>
      <c r="AE80" t="str">
        <f t="shared" si="13"/>
        <v/>
      </c>
      <c r="AF80" t="str">
        <f t="shared" si="14"/>
        <v/>
      </c>
      <c r="AG80">
        <f t="shared" si="15"/>
        <v>0</v>
      </c>
      <c r="AH80" t="str">
        <f t="shared" si="16"/>
        <v/>
      </c>
      <c r="AI80" t="str">
        <f t="shared" si="17"/>
        <v/>
      </c>
    </row>
    <row r="81" spans="1:35" x14ac:dyDescent="0.25">
      <c r="A81" s="23"/>
      <c r="B81" s="23"/>
      <c r="C81" s="23"/>
      <c r="D81" s="23"/>
      <c r="E81" s="23"/>
      <c r="F81" s="23"/>
      <c r="G81" s="23"/>
      <c r="H81" s="24"/>
      <c r="I81" s="24"/>
      <c r="J81" s="23"/>
      <c r="K81" s="25"/>
      <c r="L81" s="25"/>
      <c r="M81" s="26" t="str">
        <f t="shared" si="9"/>
        <v/>
      </c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3"/>
      <c r="AB81" t="str">
        <f t="shared" si="10"/>
        <v/>
      </c>
      <c r="AC81">
        <f t="shared" si="11"/>
        <v>0</v>
      </c>
      <c r="AD81">
        <f t="shared" si="12"/>
        <v>0</v>
      </c>
      <c r="AE81" t="str">
        <f t="shared" si="13"/>
        <v/>
      </c>
      <c r="AF81" t="str">
        <f t="shared" si="14"/>
        <v/>
      </c>
      <c r="AG81">
        <f t="shared" si="15"/>
        <v>0</v>
      </c>
      <c r="AH81" t="str">
        <f t="shared" si="16"/>
        <v/>
      </c>
      <c r="AI81" t="str">
        <f t="shared" si="17"/>
        <v/>
      </c>
    </row>
    <row r="82" spans="1:35" x14ac:dyDescent="0.25">
      <c r="A82" s="23"/>
      <c r="B82" s="23"/>
      <c r="C82" s="23"/>
      <c r="D82" s="23"/>
      <c r="E82" s="23"/>
      <c r="F82" s="23"/>
      <c r="G82" s="23"/>
      <c r="H82" s="24"/>
      <c r="I82" s="24"/>
      <c r="J82" s="23"/>
      <c r="K82" s="25"/>
      <c r="L82" s="25"/>
      <c r="M82" s="26" t="str">
        <f t="shared" si="9"/>
        <v/>
      </c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3"/>
      <c r="AB82" t="str">
        <f t="shared" si="10"/>
        <v/>
      </c>
      <c r="AC82">
        <f t="shared" si="11"/>
        <v>0</v>
      </c>
      <c r="AD82">
        <f t="shared" si="12"/>
        <v>0</v>
      </c>
      <c r="AE82" t="str">
        <f t="shared" si="13"/>
        <v/>
      </c>
      <c r="AF82" t="str">
        <f t="shared" si="14"/>
        <v/>
      </c>
      <c r="AG82">
        <f t="shared" si="15"/>
        <v>0</v>
      </c>
      <c r="AH82" t="str">
        <f t="shared" si="16"/>
        <v/>
      </c>
      <c r="AI82" t="str">
        <f t="shared" si="17"/>
        <v/>
      </c>
    </row>
    <row r="83" spans="1:35" x14ac:dyDescent="0.25">
      <c r="A83" s="23"/>
      <c r="B83" s="23"/>
      <c r="C83" s="23"/>
      <c r="D83" s="23"/>
      <c r="E83" s="23"/>
      <c r="F83" s="23"/>
      <c r="G83" s="23"/>
      <c r="H83" s="24"/>
      <c r="I83" s="24"/>
      <c r="J83" s="23"/>
      <c r="K83" s="25"/>
      <c r="L83" s="25"/>
      <c r="M83" s="26" t="str">
        <f t="shared" si="9"/>
        <v/>
      </c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3"/>
      <c r="AB83" t="str">
        <f t="shared" si="10"/>
        <v/>
      </c>
      <c r="AC83">
        <f t="shared" si="11"/>
        <v>0</v>
      </c>
      <c r="AD83">
        <f t="shared" si="12"/>
        <v>0</v>
      </c>
      <c r="AE83" t="str">
        <f t="shared" si="13"/>
        <v/>
      </c>
      <c r="AF83" t="str">
        <f t="shared" si="14"/>
        <v/>
      </c>
      <c r="AG83">
        <f t="shared" si="15"/>
        <v>0</v>
      </c>
      <c r="AH83" t="str">
        <f t="shared" si="16"/>
        <v/>
      </c>
      <c r="AI83" t="str">
        <f t="shared" si="17"/>
        <v/>
      </c>
    </row>
    <row r="84" spans="1:35" x14ac:dyDescent="0.25">
      <c r="A84" s="23"/>
      <c r="B84" s="23"/>
      <c r="C84" s="23"/>
      <c r="D84" s="23"/>
      <c r="E84" s="23"/>
      <c r="F84" s="23"/>
      <c r="G84" s="23"/>
      <c r="H84" s="24"/>
      <c r="I84" s="24"/>
      <c r="J84" s="23"/>
      <c r="K84" s="25"/>
      <c r="L84" s="25"/>
      <c r="M84" s="26" t="str">
        <f t="shared" si="9"/>
        <v/>
      </c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3"/>
      <c r="AB84" t="str">
        <f t="shared" si="10"/>
        <v/>
      </c>
      <c r="AC84">
        <f t="shared" si="11"/>
        <v>0</v>
      </c>
      <c r="AD84">
        <f t="shared" si="12"/>
        <v>0</v>
      </c>
      <c r="AE84" t="str">
        <f t="shared" si="13"/>
        <v/>
      </c>
      <c r="AF84" t="str">
        <f t="shared" si="14"/>
        <v/>
      </c>
      <c r="AG84">
        <f t="shared" si="15"/>
        <v>0</v>
      </c>
      <c r="AH84" t="str">
        <f t="shared" si="16"/>
        <v/>
      </c>
      <c r="AI84" t="str">
        <f t="shared" si="17"/>
        <v/>
      </c>
    </row>
    <row r="85" spans="1:35" x14ac:dyDescent="0.25">
      <c r="A85" s="23"/>
      <c r="B85" s="23"/>
      <c r="C85" s="23"/>
      <c r="D85" s="23"/>
      <c r="E85" s="23"/>
      <c r="F85" s="23"/>
      <c r="G85" s="23"/>
      <c r="H85" s="24"/>
      <c r="I85" s="24"/>
      <c r="J85" s="23"/>
      <c r="K85" s="25"/>
      <c r="L85" s="25"/>
      <c r="M85" s="26" t="str">
        <f t="shared" si="9"/>
        <v/>
      </c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3"/>
      <c r="AB85" t="str">
        <f t="shared" si="10"/>
        <v/>
      </c>
      <c r="AC85">
        <f t="shared" si="11"/>
        <v>0</v>
      </c>
      <c r="AD85">
        <f t="shared" si="12"/>
        <v>0</v>
      </c>
      <c r="AE85" t="str">
        <f t="shared" si="13"/>
        <v/>
      </c>
      <c r="AF85" t="str">
        <f t="shared" si="14"/>
        <v/>
      </c>
      <c r="AG85">
        <f t="shared" si="15"/>
        <v>0</v>
      </c>
      <c r="AH85" t="str">
        <f t="shared" si="16"/>
        <v/>
      </c>
      <c r="AI85" t="str">
        <f t="shared" si="17"/>
        <v/>
      </c>
    </row>
    <row r="86" spans="1:35" x14ac:dyDescent="0.25">
      <c r="A86" s="23"/>
      <c r="B86" s="23"/>
      <c r="C86" s="23"/>
      <c r="D86" s="23"/>
      <c r="E86" s="23"/>
      <c r="F86" s="23"/>
      <c r="G86" s="23"/>
      <c r="H86" s="24"/>
      <c r="I86" s="24"/>
      <c r="J86" s="23"/>
      <c r="K86" s="25"/>
      <c r="L86" s="25"/>
      <c r="M86" s="26" t="str">
        <f t="shared" si="9"/>
        <v/>
      </c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3"/>
      <c r="AB86" t="str">
        <f t="shared" si="10"/>
        <v/>
      </c>
      <c r="AC86">
        <f t="shared" si="11"/>
        <v>0</v>
      </c>
      <c r="AD86">
        <f t="shared" si="12"/>
        <v>0</v>
      </c>
      <c r="AE86" t="str">
        <f t="shared" si="13"/>
        <v/>
      </c>
      <c r="AF86" t="str">
        <f t="shared" si="14"/>
        <v/>
      </c>
      <c r="AG86">
        <f t="shared" si="15"/>
        <v>0</v>
      </c>
      <c r="AH86" t="str">
        <f t="shared" si="16"/>
        <v/>
      </c>
      <c r="AI86" t="str">
        <f t="shared" si="17"/>
        <v/>
      </c>
    </row>
    <row r="87" spans="1:35" x14ac:dyDescent="0.25">
      <c r="A87" s="23"/>
      <c r="B87" s="23"/>
      <c r="C87" s="23"/>
      <c r="D87" s="23"/>
      <c r="E87" s="23"/>
      <c r="F87" s="23"/>
      <c r="G87" s="23"/>
      <c r="H87" s="24"/>
      <c r="I87" s="24"/>
      <c r="J87" s="23"/>
      <c r="K87" s="25"/>
      <c r="L87" s="25"/>
      <c r="M87" s="26" t="str">
        <f t="shared" si="9"/>
        <v/>
      </c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3"/>
      <c r="AB87" t="str">
        <f t="shared" si="10"/>
        <v/>
      </c>
      <c r="AC87">
        <f t="shared" si="11"/>
        <v>0</v>
      </c>
      <c r="AD87">
        <f t="shared" si="12"/>
        <v>0</v>
      </c>
      <c r="AE87" t="str">
        <f t="shared" si="13"/>
        <v/>
      </c>
      <c r="AF87" t="str">
        <f t="shared" si="14"/>
        <v/>
      </c>
      <c r="AG87">
        <f t="shared" si="15"/>
        <v>0</v>
      </c>
      <c r="AH87" t="str">
        <f t="shared" si="16"/>
        <v/>
      </c>
      <c r="AI87" t="str">
        <f t="shared" si="17"/>
        <v/>
      </c>
    </row>
    <row r="88" spans="1:35" x14ac:dyDescent="0.25">
      <c r="A88" s="23"/>
      <c r="B88" s="23"/>
      <c r="C88" s="23"/>
      <c r="D88" s="23"/>
      <c r="E88" s="23"/>
      <c r="F88" s="23"/>
      <c r="G88" s="23"/>
      <c r="H88" s="24"/>
      <c r="I88" s="24"/>
      <c r="J88" s="23"/>
      <c r="K88" s="25"/>
      <c r="L88" s="25"/>
      <c r="M88" s="26" t="str">
        <f t="shared" si="9"/>
        <v/>
      </c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3"/>
      <c r="AB88" t="str">
        <f t="shared" si="10"/>
        <v/>
      </c>
      <c r="AC88">
        <f t="shared" si="11"/>
        <v>0</v>
      </c>
      <c r="AD88">
        <f t="shared" si="12"/>
        <v>0</v>
      </c>
      <c r="AE88" t="str">
        <f t="shared" si="13"/>
        <v/>
      </c>
      <c r="AF88" t="str">
        <f t="shared" si="14"/>
        <v/>
      </c>
      <c r="AG88">
        <f t="shared" si="15"/>
        <v>0</v>
      </c>
      <c r="AH88" t="str">
        <f t="shared" si="16"/>
        <v/>
      </c>
      <c r="AI88" t="str">
        <f t="shared" si="17"/>
        <v/>
      </c>
    </row>
    <row r="89" spans="1:35" x14ac:dyDescent="0.25">
      <c r="A89" s="23"/>
      <c r="B89" s="23"/>
      <c r="C89" s="23"/>
      <c r="D89" s="23"/>
      <c r="E89" s="23"/>
      <c r="F89" s="23"/>
      <c r="G89" s="23"/>
      <c r="H89" s="24"/>
      <c r="I89" s="24"/>
      <c r="J89" s="23"/>
      <c r="K89" s="25"/>
      <c r="L89" s="25"/>
      <c r="M89" s="26" t="str">
        <f t="shared" si="9"/>
        <v/>
      </c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3"/>
      <c r="AB89" t="str">
        <f t="shared" si="10"/>
        <v/>
      </c>
      <c r="AC89">
        <f t="shared" si="11"/>
        <v>0</v>
      </c>
      <c r="AD89">
        <f t="shared" si="12"/>
        <v>0</v>
      </c>
      <c r="AE89" t="str">
        <f t="shared" si="13"/>
        <v/>
      </c>
      <c r="AF89" t="str">
        <f t="shared" si="14"/>
        <v/>
      </c>
      <c r="AG89">
        <f t="shared" si="15"/>
        <v>0</v>
      </c>
      <c r="AH89" t="str">
        <f t="shared" si="16"/>
        <v/>
      </c>
      <c r="AI89" t="str">
        <f t="shared" si="17"/>
        <v/>
      </c>
    </row>
    <row r="90" spans="1:35" x14ac:dyDescent="0.25">
      <c r="A90" s="23"/>
      <c r="B90" s="23"/>
      <c r="C90" s="23"/>
      <c r="D90" s="23"/>
      <c r="E90" s="23"/>
      <c r="F90" s="23"/>
      <c r="G90" s="23"/>
      <c r="H90" s="24"/>
      <c r="I90" s="24"/>
      <c r="J90" s="23"/>
      <c r="K90" s="25"/>
      <c r="L90" s="25"/>
      <c r="M90" s="26" t="str">
        <f t="shared" si="9"/>
        <v/>
      </c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3"/>
      <c r="AB90" t="str">
        <f t="shared" si="10"/>
        <v/>
      </c>
      <c r="AC90">
        <f t="shared" si="11"/>
        <v>0</v>
      </c>
      <c r="AD90">
        <f t="shared" si="12"/>
        <v>0</v>
      </c>
      <c r="AE90" t="str">
        <f t="shared" si="13"/>
        <v/>
      </c>
      <c r="AF90" t="str">
        <f t="shared" si="14"/>
        <v/>
      </c>
      <c r="AG90">
        <f t="shared" si="15"/>
        <v>0</v>
      </c>
      <c r="AH90" t="str">
        <f t="shared" si="16"/>
        <v/>
      </c>
      <c r="AI90" t="str">
        <f t="shared" si="17"/>
        <v/>
      </c>
    </row>
    <row r="91" spans="1:35" x14ac:dyDescent="0.25">
      <c r="A91" s="23"/>
      <c r="B91" s="23"/>
      <c r="C91" s="23"/>
      <c r="D91" s="23"/>
      <c r="E91" s="23"/>
      <c r="F91" s="23"/>
      <c r="G91" s="23"/>
      <c r="H91" s="24"/>
      <c r="I91" s="24"/>
      <c r="J91" s="23"/>
      <c r="K91" s="25"/>
      <c r="L91" s="25"/>
      <c r="M91" s="26" t="str">
        <f t="shared" si="9"/>
        <v/>
      </c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3"/>
      <c r="AB91" t="str">
        <f t="shared" si="10"/>
        <v/>
      </c>
      <c r="AC91">
        <f t="shared" si="11"/>
        <v>0</v>
      </c>
      <c r="AD91">
        <f t="shared" si="12"/>
        <v>0</v>
      </c>
      <c r="AE91" t="str">
        <f t="shared" si="13"/>
        <v/>
      </c>
      <c r="AF91" t="str">
        <f t="shared" si="14"/>
        <v/>
      </c>
      <c r="AG91">
        <f t="shared" si="15"/>
        <v>0</v>
      </c>
      <c r="AH91" t="str">
        <f t="shared" si="16"/>
        <v/>
      </c>
      <c r="AI91" t="str">
        <f t="shared" si="17"/>
        <v/>
      </c>
    </row>
    <row r="92" spans="1:35" x14ac:dyDescent="0.25">
      <c r="A92" s="23"/>
      <c r="B92" s="23"/>
      <c r="C92" s="23"/>
      <c r="D92" s="23"/>
      <c r="E92" s="23"/>
      <c r="F92" s="23"/>
      <c r="G92" s="23"/>
      <c r="H92" s="24"/>
      <c r="I92" s="24"/>
      <c r="J92" s="23"/>
      <c r="K92" s="25"/>
      <c r="L92" s="25"/>
      <c r="M92" s="26" t="str">
        <f t="shared" si="9"/>
        <v/>
      </c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3"/>
      <c r="AB92" t="str">
        <f t="shared" si="10"/>
        <v/>
      </c>
      <c r="AC92">
        <f t="shared" si="11"/>
        <v>0</v>
      </c>
      <c r="AD92">
        <f t="shared" si="12"/>
        <v>0</v>
      </c>
      <c r="AE92" t="str">
        <f t="shared" si="13"/>
        <v/>
      </c>
      <c r="AF92" t="str">
        <f t="shared" si="14"/>
        <v/>
      </c>
      <c r="AG92">
        <f t="shared" si="15"/>
        <v>0</v>
      </c>
      <c r="AH92" t="str">
        <f t="shared" si="16"/>
        <v/>
      </c>
      <c r="AI92" t="str">
        <f t="shared" si="17"/>
        <v/>
      </c>
    </row>
    <row r="93" spans="1:35" x14ac:dyDescent="0.25">
      <c r="A93" s="23"/>
      <c r="B93" s="23"/>
      <c r="C93" s="23"/>
      <c r="D93" s="23"/>
      <c r="E93" s="23"/>
      <c r="F93" s="23"/>
      <c r="G93" s="23"/>
      <c r="H93" s="24"/>
      <c r="I93" s="24"/>
      <c r="J93" s="23"/>
      <c r="K93" s="25"/>
      <c r="L93" s="25"/>
      <c r="M93" s="26" t="str">
        <f t="shared" si="9"/>
        <v/>
      </c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3"/>
      <c r="AB93" t="str">
        <f t="shared" si="10"/>
        <v/>
      </c>
      <c r="AC93">
        <f t="shared" si="11"/>
        <v>0</v>
      </c>
      <c r="AD93">
        <f t="shared" si="12"/>
        <v>0</v>
      </c>
      <c r="AE93" t="str">
        <f t="shared" si="13"/>
        <v/>
      </c>
      <c r="AF93" t="str">
        <f t="shared" si="14"/>
        <v/>
      </c>
      <c r="AG93">
        <f t="shared" si="15"/>
        <v>0</v>
      </c>
      <c r="AH93" t="str">
        <f t="shared" si="16"/>
        <v/>
      </c>
      <c r="AI93" t="str">
        <f t="shared" si="17"/>
        <v/>
      </c>
    </row>
    <row r="94" spans="1:35" x14ac:dyDescent="0.25">
      <c r="A94" s="23"/>
      <c r="B94" s="23"/>
      <c r="C94" s="23"/>
      <c r="D94" s="23"/>
      <c r="E94" s="23"/>
      <c r="F94" s="23"/>
      <c r="G94" s="23"/>
      <c r="H94" s="24"/>
      <c r="I94" s="24"/>
      <c r="J94" s="23"/>
      <c r="K94" s="25"/>
      <c r="L94" s="25"/>
      <c r="M94" s="26" t="str">
        <f t="shared" si="9"/>
        <v/>
      </c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3"/>
      <c r="AB94" t="str">
        <f t="shared" si="10"/>
        <v/>
      </c>
      <c r="AC94">
        <f t="shared" si="11"/>
        <v>0</v>
      </c>
      <c r="AD94">
        <f t="shared" si="12"/>
        <v>0</v>
      </c>
      <c r="AE94" t="str">
        <f t="shared" si="13"/>
        <v/>
      </c>
      <c r="AF94" t="str">
        <f t="shared" si="14"/>
        <v/>
      </c>
      <c r="AG94">
        <f t="shared" si="15"/>
        <v>0</v>
      </c>
      <c r="AH94" t="str">
        <f t="shared" si="16"/>
        <v/>
      </c>
      <c r="AI94" t="str">
        <f t="shared" si="17"/>
        <v/>
      </c>
    </row>
    <row r="95" spans="1:35" x14ac:dyDescent="0.25">
      <c r="A95" s="23"/>
      <c r="B95" s="23"/>
      <c r="C95" s="23"/>
      <c r="D95" s="23"/>
      <c r="E95" s="23"/>
      <c r="F95" s="23"/>
      <c r="G95" s="23"/>
      <c r="H95" s="24"/>
      <c r="I95" s="24"/>
      <c r="J95" s="23"/>
      <c r="K95" s="25"/>
      <c r="L95" s="25"/>
      <c r="M95" s="26" t="str">
        <f t="shared" si="9"/>
        <v/>
      </c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3"/>
      <c r="AB95" t="str">
        <f t="shared" si="10"/>
        <v/>
      </c>
      <c r="AC95">
        <f t="shared" si="11"/>
        <v>0</v>
      </c>
      <c r="AD95">
        <f t="shared" si="12"/>
        <v>0</v>
      </c>
      <c r="AE95" t="str">
        <f t="shared" si="13"/>
        <v/>
      </c>
      <c r="AF95" t="str">
        <f t="shared" si="14"/>
        <v/>
      </c>
      <c r="AG95">
        <f t="shared" si="15"/>
        <v>0</v>
      </c>
      <c r="AH95" t="str">
        <f t="shared" si="16"/>
        <v/>
      </c>
      <c r="AI95" t="str">
        <f t="shared" si="17"/>
        <v/>
      </c>
    </row>
    <row r="96" spans="1:35" x14ac:dyDescent="0.25">
      <c r="A96" s="23"/>
      <c r="B96" s="23"/>
      <c r="C96" s="23"/>
      <c r="D96" s="23"/>
      <c r="E96" s="23"/>
      <c r="F96" s="23"/>
      <c r="G96" s="23"/>
      <c r="H96" s="24"/>
      <c r="I96" s="24"/>
      <c r="J96" s="23"/>
      <c r="K96" s="25"/>
      <c r="L96" s="25"/>
      <c r="M96" s="26" t="str">
        <f t="shared" si="9"/>
        <v/>
      </c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3"/>
      <c r="AB96" t="str">
        <f t="shared" si="10"/>
        <v/>
      </c>
      <c r="AC96">
        <f t="shared" si="11"/>
        <v>0</v>
      </c>
      <c r="AD96">
        <f t="shared" si="12"/>
        <v>0</v>
      </c>
      <c r="AE96" t="str">
        <f t="shared" si="13"/>
        <v/>
      </c>
      <c r="AF96" t="str">
        <f t="shared" si="14"/>
        <v/>
      </c>
      <c r="AG96">
        <f t="shared" si="15"/>
        <v>0</v>
      </c>
      <c r="AH96" t="str">
        <f t="shared" si="16"/>
        <v/>
      </c>
      <c r="AI96" t="str">
        <f t="shared" si="17"/>
        <v/>
      </c>
    </row>
    <row r="97" spans="1:35" x14ac:dyDescent="0.25">
      <c r="A97" s="23"/>
      <c r="B97" s="23"/>
      <c r="C97" s="23"/>
      <c r="D97" s="23"/>
      <c r="E97" s="23"/>
      <c r="F97" s="23"/>
      <c r="G97" s="23"/>
      <c r="H97" s="24"/>
      <c r="I97" s="24"/>
      <c r="J97" s="23"/>
      <c r="K97" s="25"/>
      <c r="L97" s="25"/>
      <c r="M97" s="26" t="str">
        <f t="shared" si="9"/>
        <v/>
      </c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3"/>
      <c r="AB97" t="str">
        <f t="shared" si="10"/>
        <v/>
      </c>
      <c r="AC97">
        <f t="shared" si="11"/>
        <v>0</v>
      </c>
      <c r="AD97">
        <f t="shared" si="12"/>
        <v>0</v>
      </c>
      <c r="AE97" t="str">
        <f t="shared" si="13"/>
        <v/>
      </c>
      <c r="AF97" t="str">
        <f t="shared" si="14"/>
        <v/>
      </c>
      <c r="AG97">
        <f t="shared" si="15"/>
        <v>0</v>
      </c>
      <c r="AH97" t="str">
        <f t="shared" si="16"/>
        <v/>
      </c>
      <c r="AI97" t="str">
        <f t="shared" si="17"/>
        <v/>
      </c>
    </row>
    <row r="98" spans="1:35" x14ac:dyDescent="0.25">
      <c r="A98" s="23"/>
      <c r="B98" s="23"/>
      <c r="C98" s="23"/>
      <c r="D98" s="23"/>
      <c r="E98" s="23"/>
      <c r="F98" s="23"/>
      <c r="G98" s="23"/>
      <c r="H98" s="24"/>
      <c r="I98" s="24"/>
      <c r="J98" s="23"/>
      <c r="K98" s="25"/>
      <c r="L98" s="25"/>
      <c r="M98" s="26" t="str">
        <f t="shared" si="9"/>
        <v/>
      </c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3"/>
      <c r="AB98" t="str">
        <f t="shared" si="10"/>
        <v/>
      </c>
      <c r="AC98">
        <f t="shared" si="11"/>
        <v>0</v>
      </c>
      <c r="AD98">
        <f t="shared" si="12"/>
        <v>0</v>
      </c>
      <c r="AE98" t="str">
        <f t="shared" si="13"/>
        <v/>
      </c>
      <c r="AF98" t="str">
        <f t="shared" si="14"/>
        <v/>
      </c>
      <c r="AG98">
        <f t="shared" si="15"/>
        <v>0</v>
      </c>
      <c r="AH98" t="str">
        <f t="shared" si="16"/>
        <v/>
      </c>
      <c r="AI98" t="str">
        <f t="shared" si="17"/>
        <v/>
      </c>
    </row>
    <row r="99" spans="1:35" x14ac:dyDescent="0.25">
      <c r="A99" s="23"/>
      <c r="B99" s="23"/>
      <c r="C99" s="23"/>
      <c r="D99" s="23"/>
      <c r="E99" s="23"/>
      <c r="F99" s="23"/>
      <c r="G99" s="23"/>
      <c r="H99" s="24"/>
      <c r="I99" s="24"/>
      <c r="J99" s="23"/>
      <c r="K99" s="25"/>
      <c r="L99" s="25"/>
      <c r="M99" s="26" t="str">
        <f t="shared" si="9"/>
        <v/>
      </c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3"/>
      <c r="AB99" t="str">
        <f t="shared" si="10"/>
        <v/>
      </c>
      <c r="AC99">
        <f t="shared" si="11"/>
        <v>0</v>
      </c>
      <c r="AD99">
        <f t="shared" si="12"/>
        <v>0</v>
      </c>
      <c r="AE99" t="str">
        <f t="shared" si="13"/>
        <v/>
      </c>
      <c r="AF99" t="str">
        <f t="shared" si="14"/>
        <v/>
      </c>
      <c r="AG99">
        <f t="shared" si="15"/>
        <v>0</v>
      </c>
      <c r="AH99" t="str">
        <f t="shared" si="16"/>
        <v/>
      </c>
      <c r="AI99" t="str">
        <f t="shared" si="17"/>
        <v/>
      </c>
    </row>
    <row r="100" spans="1:35" x14ac:dyDescent="0.25">
      <c r="A100" s="23"/>
      <c r="B100" s="23"/>
      <c r="C100" s="23"/>
      <c r="D100" s="23"/>
      <c r="E100" s="23"/>
      <c r="F100" s="23"/>
      <c r="G100" s="23"/>
      <c r="H100" s="24"/>
      <c r="I100" s="24"/>
      <c r="J100" s="23"/>
      <c r="K100" s="25"/>
      <c r="L100" s="25"/>
      <c r="M100" s="26" t="str">
        <f t="shared" si="9"/>
        <v/>
      </c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3"/>
      <c r="AB100" t="str">
        <f t="shared" si="10"/>
        <v/>
      </c>
      <c r="AC100">
        <f t="shared" si="11"/>
        <v>0</v>
      </c>
      <c r="AD100">
        <f t="shared" si="12"/>
        <v>0</v>
      </c>
      <c r="AE100" t="str">
        <f t="shared" si="13"/>
        <v/>
      </c>
      <c r="AF100" t="str">
        <f t="shared" si="14"/>
        <v/>
      </c>
      <c r="AG100">
        <f t="shared" si="15"/>
        <v>0</v>
      </c>
      <c r="AH100" t="str">
        <f t="shared" si="16"/>
        <v/>
      </c>
      <c r="AI100" t="str">
        <f t="shared" si="17"/>
        <v/>
      </c>
    </row>
    <row r="101" spans="1:35" x14ac:dyDescent="0.25">
      <c r="A101" s="23"/>
      <c r="B101" s="23"/>
      <c r="C101" s="23"/>
      <c r="D101" s="23"/>
      <c r="E101" s="23"/>
      <c r="F101" s="23"/>
      <c r="G101" s="23"/>
      <c r="H101" s="24"/>
      <c r="I101" s="24"/>
      <c r="J101" s="23"/>
      <c r="K101" s="25"/>
      <c r="L101" s="25"/>
      <c r="M101" s="26" t="str">
        <f t="shared" si="9"/>
        <v/>
      </c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3"/>
      <c r="AB101" t="str">
        <f t="shared" si="10"/>
        <v/>
      </c>
      <c r="AC101">
        <f t="shared" si="11"/>
        <v>0</v>
      </c>
      <c r="AD101">
        <f t="shared" si="12"/>
        <v>0</v>
      </c>
      <c r="AE101" t="str">
        <f t="shared" si="13"/>
        <v/>
      </c>
      <c r="AF101" t="str">
        <f t="shared" si="14"/>
        <v/>
      </c>
      <c r="AG101">
        <f t="shared" si="15"/>
        <v>0</v>
      </c>
      <c r="AH101" t="str">
        <f t="shared" si="16"/>
        <v/>
      </c>
      <c r="AI101" t="str">
        <f t="shared" si="17"/>
        <v/>
      </c>
    </row>
    <row r="102" spans="1:35" x14ac:dyDescent="0.25">
      <c r="A102" s="23"/>
      <c r="B102" s="23"/>
      <c r="C102" s="23"/>
      <c r="D102" s="23"/>
      <c r="E102" s="23"/>
      <c r="F102" s="23"/>
      <c r="G102" s="23"/>
      <c r="H102" s="24"/>
      <c r="I102" s="24"/>
      <c r="J102" s="23"/>
      <c r="K102" s="25"/>
      <c r="L102" s="25"/>
      <c r="M102" s="26" t="str">
        <f t="shared" si="9"/>
        <v/>
      </c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3"/>
      <c r="AB102" t="str">
        <f t="shared" si="10"/>
        <v/>
      </c>
      <c r="AC102">
        <f t="shared" si="11"/>
        <v>0</v>
      </c>
      <c r="AD102">
        <f t="shared" si="12"/>
        <v>0</v>
      </c>
      <c r="AE102" t="str">
        <f t="shared" si="13"/>
        <v/>
      </c>
      <c r="AF102" t="str">
        <f t="shared" si="14"/>
        <v/>
      </c>
      <c r="AG102">
        <f t="shared" si="15"/>
        <v>0</v>
      </c>
      <c r="AH102" t="str">
        <f t="shared" si="16"/>
        <v/>
      </c>
      <c r="AI102" t="str">
        <f t="shared" si="17"/>
        <v/>
      </c>
    </row>
    <row r="103" spans="1:35" x14ac:dyDescent="0.25">
      <c r="A103" s="23"/>
      <c r="B103" s="23"/>
      <c r="C103" s="23"/>
      <c r="D103" s="23"/>
      <c r="E103" s="23"/>
      <c r="F103" s="23"/>
      <c r="G103" s="23"/>
      <c r="H103" s="24"/>
      <c r="I103" s="24"/>
      <c r="J103" s="23"/>
      <c r="K103" s="25"/>
      <c r="L103" s="25"/>
      <c r="M103" s="26" t="str">
        <f t="shared" si="9"/>
        <v/>
      </c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3"/>
      <c r="AB103" t="str">
        <f t="shared" si="10"/>
        <v/>
      </c>
      <c r="AC103">
        <f t="shared" si="11"/>
        <v>0</v>
      </c>
      <c r="AD103">
        <f t="shared" si="12"/>
        <v>0</v>
      </c>
      <c r="AE103" t="str">
        <f t="shared" si="13"/>
        <v/>
      </c>
      <c r="AF103" t="str">
        <f t="shared" si="14"/>
        <v/>
      </c>
      <c r="AG103">
        <f t="shared" si="15"/>
        <v>0</v>
      </c>
      <c r="AH103" t="str">
        <f t="shared" si="16"/>
        <v/>
      </c>
      <c r="AI103" t="str">
        <f t="shared" si="17"/>
        <v/>
      </c>
    </row>
    <row r="104" spans="1:35" x14ac:dyDescent="0.25">
      <c r="A104" s="23"/>
      <c r="B104" s="23"/>
      <c r="C104" s="23"/>
      <c r="D104" s="23"/>
      <c r="E104" s="23"/>
      <c r="F104" s="23"/>
      <c r="G104" s="23"/>
      <c r="H104" s="24"/>
      <c r="I104" s="24"/>
      <c r="J104" s="23"/>
      <c r="K104" s="25"/>
      <c r="L104" s="25"/>
      <c r="M104" s="26" t="str">
        <f t="shared" si="9"/>
        <v/>
      </c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3"/>
      <c r="AB104" t="str">
        <f t="shared" si="10"/>
        <v/>
      </c>
      <c r="AC104">
        <f t="shared" si="11"/>
        <v>0</v>
      </c>
      <c r="AD104">
        <f t="shared" si="12"/>
        <v>0</v>
      </c>
      <c r="AE104" t="str">
        <f t="shared" si="13"/>
        <v/>
      </c>
      <c r="AF104" t="str">
        <f t="shared" si="14"/>
        <v/>
      </c>
      <c r="AG104">
        <f t="shared" si="15"/>
        <v>0</v>
      </c>
      <c r="AH104" t="str">
        <f t="shared" si="16"/>
        <v/>
      </c>
      <c r="AI104" t="str">
        <f t="shared" si="17"/>
        <v/>
      </c>
    </row>
    <row r="105" spans="1:35" x14ac:dyDescent="0.25">
      <c r="A105" s="23"/>
      <c r="B105" s="23"/>
      <c r="C105" s="23"/>
      <c r="D105" s="23"/>
      <c r="E105" s="23"/>
      <c r="F105" s="23"/>
      <c r="G105" s="23"/>
      <c r="H105" s="24"/>
      <c r="I105" s="24"/>
      <c r="J105" s="23"/>
      <c r="K105" s="25"/>
      <c r="L105" s="25"/>
      <c r="M105" s="26" t="str">
        <f t="shared" si="9"/>
        <v/>
      </c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3"/>
      <c r="AB105" t="str">
        <f t="shared" si="10"/>
        <v/>
      </c>
      <c r="AC105">
        <f t="shared" si="11"/>
        <v>0</v>
      </c>
      <c r="AD105">
        <f t="shared" si="12"/>
        <v>0</v>
      </c>
      <c r="AE105" t="str">
        <f t="shared" si="13"/>
        <v/>
      </c>
      <c r="AF105" t="str">
        <f t="shared" si="14"/>
        <v/>
      </c>
      <c r="AG105">
        <f t="shared" si="15"/>
        <v>0</v>
      </c>
      <c r="AH105" t="str">
        <f t="shared" si="16"/>
        <v/>
      </c>
      <c r="AI105" t="str">
        <f t="shared" si="17"/>
        <v/>
      </c>
    </row>
    <row r="106" spans="1:35" x14ac:dyDescent="0.25">
      <c r="A106" s="23"/>
      <c r="B106" s="23"/>
      <c r="C106" s="23"/>
      <c r="D106" s="23"/>
      <c r="E106" s="23"/>
      <c r="F106" s="23"/>
      <c r="G106" s="23"/>
      <c r="H106" s="24"/>
      <c r="I106" s="24"/>
      <c r="J106" s="23"/>
      <c r="K106" s="25"/>
      <c r="L106" s="25"/>
      <c r="M106" s="26" t="str">
        <f t="shared" si="9"/>
        <v/>
      </c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3"/>
      <c r="AB106" t="str">
        <f t="shared" si="10"/>
        <v/>
      </c>
      <c r="AC106">
        <f t="shared" si="11"/>
        <v>0</v>
      </c>
      <c r="AD106">
        <f t="shared" si="12"/>
        <v>0</v>
      </c>
      <c r="AE106" t="str">
        <f t="shared" si="13"/>
        <v/>
      </c>
      <c r="AF106" t="str">
        <f t="shared" si="14"/>
        <v/>
      </c>
      <c r="AG106">
        <f t="shared" si="15"/>
        <v>0</v>
      </c>
      <c r="AH106" t="str">
        <f t="shared" si="16"/>
        <v/>
      </c>
      <c r="AI106" t="str">
        <f t="shared" si="17"/>
        <v/>
      </c>
    </row>
    <row r="107" spans="1:35" x14ac:dyDescent="0.25">
      <c r="A107" s="23"/>
      <c r="B107" s="23"/>
      <c r="C107" s="23"/>
      <c r="D107" s="23"/>
      <c r="E107" s="23"/>
      <c r="F107" s="23"/>
      <c r="G107" s="23"/>
      <c r="H107" s="24"/>
      <c r="I107" s="24"/>
      <c r="J107" s="23"/>
      <c r="K107" s="25"/>
      <c r="L107" s="25"/>
      <c r="M107" s="26" t="str">
        <f t="shared" si="9"/>
        <v/>
      </c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3"/>
      <c r="AB107" t="str">
        <f t="shared" si="10"/>
        <v/>
      </c>
      <c r="AC107">
        <f t="shared" si="11"/>
        <v>0</v>
      </c>
      <c r="AD107">
        <f t="shared" si="12"/>
        <v>0</v>
      </c>
      <c r="AE107" t="str">
        <f t="shared" si="13"/>
        <v/>
      </c>
      <c r="AF107" t="str">
        <f t="shared" si="14"/>
        <v/>
      </c>
      <c r="AG107">
        <f t="shared" si="15"/>
        <v>0</v>
      </c>
      <c r="AH107" t="str">
        <f t="shared" si="16"/>
        <v/>
      </c>
      <c r="AI107" t="str">
        <f t="shared" si="17"/>
        <v/>
      </c>
    </row>
    <row r="108" spans="1:35" x14ac:dyDescent="0.25">
      <c r="A108" s="23"/>
      <c r="B108" s="23"/>
      <c r="C108" s="23"/>
      <c r="D108" s="23"/>
      <c r="E108" s="23"/>
      <c r="F108" s="23"/>
      <c r="G108" s="23"/>
      <c r="H108" s="24"/>
      <c r="I108" s="24"/>
      <c r="J108" s="23"/>
      <c r="K108" s="25"/>
      <c r="L108" s="25"/>
      <c r="M108" s="26" t="str">
        <f t="shared" si="9"/>
        <v/>
      </c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3"/>
      <c r="AB108" t="str">
        <f t="shared" si="10"/>
        <v/>
      </c>
      <c r="AC108">
        <f t="shared" si="11"/>
        <v>0</v>
      </c>
      <c r="AD108">
        <f t="shared" si="12"/>
        <v>0</v>
      </c>
      <c r="AE108" t="str">
        <f t="shared" si="13"/>
        <v/>
      </c>
      <c r="AF108" t="str">
        <f t="shared" si="14"/>
        <v/>
      </c>
      <c r="AG108">
        <f t="shared" si="15"/>
        <v>0</v>
      </c>
      <c r="AH108" t="str">
        <f t="shared" si="16"/>
        <v/>
      </c>
      <c r="AI108" t="str">
        <f t="shared" si="17"/>
        <v/>
      </c>
    </row>
    <row r="109" spans="1:35" x14ac:dyDescent="0.25">
      <c r="A109" s="23"/>
      <c r="B109" s="23"/>
      <c r="C109" s="23"/>
      <c r="D109" s="23"/>
      <c r="E109" s="23"/>
      <c r="F109" s="23"/>
      <c r="G109" s="23"/>
      <c r="H109" s="24"/>
      <c r="I109" s="24"/>
      <c r="J109" s="23"/>
      <c r="K109" s="25"/>
      <c r="L109" s="25"/>
      <c r="M109" s="26" t="str">
        <f t="shared" si="9"/>
        <v/>
      </c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3"/>
      <c r="AB109" t="str">
        <f t="shared" si="10"/>
        <v/>
      </c>
      <c r="AC109">
        <f t="shared" si="11"/>
        <v>0</v>
      </c>
      <c r="AD109">
        <f t="shared" si="12"/>
        <v>0</v>
      </c>
      <c r="AE109" t="str">
        <f t="shared" si="13"/>
        <v/>
      </c>
      <c r="AF109" t="str">
        <f t="shared" si="14"/>
        <v/>
      </c>
      <c r="AG109">
        <f t="shared" si="15"/>
        <v>0</v>
      </c>
      <c r="AH109" t="str">
        <f t="shared" si="16"/>
        <v/>
      </c>
      <c r="AI109" t="str">
        <f t="shared" si="17"/>
        <v/>
      </c>
    </row>
    <row r="110" spans="1:35" x14ac:dyDescent="0.25">
      <c r="A110" s="23"/>
      <c r="B110" s="23"/>
      <c r="C110" s="23"/>
      <c r="D110" s="23"/>
      <c r="E110" s="23"/>
      <c r="F110" s="23"/>
      <c r="G110" s="23"/>
      <c r="H110" s="24"/>
      <c r="I110" s="24"/>
      <c r="J110" s="23"/>
      <c r="K110" s="25"/>
      <c r="L110" s="25"/>
      <c r="M110" s="26" t="str">
        <f t="shared" si="9"/>
        <v/>
      </c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3"/>
      <c r="AB110" t="str">
        <f t="shared" si="10"/>
        <v/>
      </c>
      <c r="AC110">
        <f t="shared" si="11"/>
        <v>0</v>
      </c>
      <c r="AD110">
        <f t="shared" si="12"/>
        <v>0</v>
      </c>
      <c r="AE110" t="str">
        <f t="shared" si="13"/>
        <v/>
      </c>
      <c r="AF110" t="str">
        <f t="shared" si="14"/>
        <v/>
      </c>
      <c r="AG110">
        <f t="shared" si="15"/>
        <v>0</v>
      </c>
      <c r="AH110" t="str">
        <f t="shared" si="16"/>
        <v/>
      </c>
      <c r="AI110" t="str">
        <f t="shared" si="17"/>
        <v/>
      </c>
    </row>
    <row r="111" spans="1:35" x14ac:dyDescent="0.25">
      <c r="A111" s="23"/>
      <c r="B111" s="23"/>
      <c r="C111" s="23"/>
      <c r="D111" s="23"/>
      <c r="E111" s="23"/>
      <c r="F111" s="23"/>
      <c r="G111" s="23"/>
      <c r="H111" s="24"/>
      <c r="I111" s="24"/>
      <c r="J111" s="23"/>
      <c r="K111" s="25"/>
      <c r="L111" s="25"/>
      <c r="M111" s="26" t="str">
        <f t="shared" si="9"/>
        <v/>
      </c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3"/>
      <c r="AB111" t="str">
        <f t="shared" si="10"/>
        <v/>
      </c>
      <c r="AC111">
        <f t="shared" si="11"/>
        <v>0</v>
      </c>
      <c r="AD111">
        <f t="shared" si="12"/>
        <v>0</v>
      </c>
      <c r="AE111" t="str">
        <f t="shared" si="13"/>
        <v/>
      </c>
      <c r="AF111" t="str">
        <f t="shared" si="14"/>
        <v/>
      </c>
      <c r="AG111">
        <f t="shared" si="15"/>
        <v>0</v>
      </c>
      <c r="AH111" t="str">
        <f t="shared" si="16"/>
        <v/>
      </c>
      <c r="AI111" t="str">
        <f t="shared" si="17"/>
        <v/>
      </c>
    </row>
    <row r="112" spans="1:35" x14ac:dyDescent="0.25">
      <c r="A112" s="23"/>
      <c r="B112" s="23"/>
      <c r="C112" s="23"/>
      <c r="D112" s="23"/>
      <c r="E112" s="23"/>
      <c r="F112" s="23"/>
      <c r="G112" s="23"/>
      <c r="H112" s="24"/>
      <c r="I112" s="24"/>
      <c r="J112" s="23"/>
      <c r="K112" s="25"/>
      <c r="L112" s="25"/>
      <c r="M112" s="26" t="str">
        <f t="shared" si="9"/>
        <v/>
      </c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3"/>
      <c r="AB112" t="str">
        <f t="shared" si="10"/>
        <v/>
      </c>
      <c r="AC112">
        <f t="shared" si="11"/>
        <v>0</v>
      </c>
      <c r="AD112">
        <f t="shared" si="12"/>
        <v>0</v>
      </c>
      <c r="AE112" t="str">
        <f t="shared" si="13"/>
        <v/>
      </c>
      <c r="AF112" t="str">
        <f t="shared" si="14"/>
        <v/>
      </c>
      <c r="AG112">
        <f t="shared" si="15"/>
        <v>0</v>
      </c>
      <c r="AH112" t="str">
        <f t="shared" si="16"/>
        <v/>
      </c>
      <c r="AI112" t="str">
        <f t="shared" si="17"/>
        <v/>
      </c>
    </row>
    <row r="113" spans="1:35" x14ac:dyDescent="0.25">
      <c r="A113" s="23"/>
      <c r="B113" s="23"/>
      <c r="C113" s="23"/>
      <c r="D113" s="23"/>
      <c r="E113" s="23"/>
      <c r="F113" s="23"/>
      <c r="G113" s="23"/>
      <c r="H113" s="24"/>
      <c r="I113" s="24"/>
      <c r="J113" s="23"/>
      <c r="K113" s="25"/>
      <c r="L113" s="25"/>
      <c r="M113" s="26" t="str">
        <f t="shared" si="9"/>
        <v/>
      </c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3"/>
      <c r="AB113" t="str">
        <f t="shared" si="10"/>
        <v/>
      </c>
      <c r="AC113">
        <f t="shared" si="11"/>
        <v>0</v>
      </c>
      <c r="AD113">
        <f t="shared" si="12"/>
        <v>0</v>
      </c>
      <c r="AE113" t="str">
        <f t="shared" si="13"/>
        <v/>
      </c>
      <c r="AF113" t="str">
        <f t="shared" si="14"/>
        <v/>
      </c>
      <c r="AG113">
        <f t="shared" si="15"/>
        <v>0</v>
      </c>
      <c r="AH113" t="str">
        <f t="shared" si="16"/>
        <v/>
      </c>
      <c r="AI113" t="str">
        <f t="shared" si="17"/>
        <v/>
      </c>
    </row>
    <row r="114" spans="1:35" x14ac:dyDescent="0.25">
      <c r="A114" s="23"/>
      <c r="B114" s="23"/>
      <c r="C114" s="23"/>
      <c r="D114" s="23"/>
      <c r="E114" s="23"/>
      <c r="F114" s="23"/>
      <c r="G114" s="23"/>
      <c r="H114" s="24"/>
      <c r="I114" s="24"/>
      <c r="J114" s="23"/>
      <c r="K114" s="25"/>
      <c r="L114" s="25"/>
      <c r="M114" s="26" t="str">
        <f t="shared" si="9"/>
        <v/>
      </c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3"/>
      <c r="AB114" t="str">
        <f t="shared" si="10"/>
        <v/>
      </c>
      <c r="AC114">
        <f t="shared" si="11"/>
        <v>0</v>
      </c>
      <c r="AD114">
        <f t="shared" si="12"/>
        <v>0</v>
      </c>
      <c r="AE114" t="str">
        <f t="shared" si="13"/>
        <v/>
      </c>
      <c r="AF114" t="str">
        <f t="shared" si="14"/>
        <v/>
      </c>
      <c r="AG114">
        <f t="shared" si="15"/>
        <v>0</v>
      </c>
      <c r="AH114" t="str">
        <f t="shared" si="16"/>
        <v/>
      </c>
      <c r="AI114" t="str">
        <f t="shared" si="17"/>
        <v/>
      </c>
    </row>
    <row r="115" spans="1:35" x14ac:dyDescent="0.25">
      <c r="A115" s="23"/>
      <c r="B115" s="23"/>
      <c r="C115" s="23"/>
      <c r="D115" s="23"/>
      <c r="E115" s="23"/>
      <c r="F115" s="23"/>
      <c r="G115" s="23"/>
      <c r="H115" s="24"/>
      <c r="I115" s="24"/>
      <c r="J115" s="23"/>
      <c r="K115" s="25"/>
      <c r="L115" s="25"/>
      <c r="M115" s="26" t="str">
        <f t="shared" si="9"/>
        <v/>
      </c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3"/>
      <c r="AB115" t="str">
        <f t="shared" si="10"/>
        <v/>
      </c>
      <c r="AC115">
        <f t="shared" si="11"/>
        <v>0</v>
      </c>
      <c r="AD115">
        <f t="shared" si="12"/>
        <v>0</v>
      </c>
      <c r="AE115" t="str">
        <f t="shared" si="13"/>
        <v/>
      </c>
      <c r="AF115" t="str">
        <f t="shared" si="14"/>
        <v/>
      </c>
      <c r="AG115">
        <f t="shared" si="15"/>
        <v>0</v>
      </c>
      <c r="AH115" t="str">
        <f t="shared" si="16"/>
        <v/>
      </c>
      <c r="AI115" t="str">
        <f t="shared" si="17"/>
        <v/>
      </c>
    </row>
    <row r="116" spans="1:35" x14ac:dyDescent="0.25">
      <c r="A116" s="23"/>
      <c r="B116" s="23"/>
      <c r="C116" s="23"/>
      <c r="D116" s="23"/>
      <c r="E116" s="23"/>
      <c r="F116" s="23"/>
      <c r="G116" s="23"/>
      <c r="H116" s="24"/>
      <c r="I116" s="24"/>
      <c r="J116" s="23"/>
      <c r="K116" s="25"/>
      <c r="L116" s="25"/>
      <c r="M116" s="26" t="str">
        <f t="shared" si="9"/>
        <v/>
      </c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3"/>
      <c r="AB116" t="str">
        <f t="shared" si="10"/>
        <v/>
      </c>
      <c r="AC116">
        <f t="shared" si="11"/>
        <v>0</v>
      </c>
      <c r="AD116">
        <f t="shared" si="12"/>
        <v>0</v>
      </c>
      <c r="AE116" t="str">
        <f t="shared" si="13"/>
        <v/>
      </c>
      <c r="AF116" t="str">
        <f t="shared" si="14"/>
        <v/>
      </c>
      <c r="AG116">
        <f t="shared" si="15"/>
        <v>0</v>
      </c>
      <c r="AH116" t="str">
        <f t="shared" si="16"/>
        <v/>
      </c>
      <c r="AI116" t="str">
        <f t="shared" si="17"/>
        <v/>
      </c>
    </row>
    <row r="117" spans="1:35" x14ac:dyDescent="0.25">
      <c r="A117" s="23"/>
      <c r="B117" s="23"/>
      <c r="C117" s="23"/>
      <c r="D117" s="23"/>
      <c r="E117" s="23"/>
      <c r="F117" s="23"/>
      <c r="G117" s="23"/>
      <c r="H117" s="24"/>
      <c r="I117" s="24"/>
      <c r="J117" s="23"/>
      <c r="K117" s="25"/>
      <c r="L117" s="25"/>
      <c r="M117" s="26" t="str">
        <f t="shared" si="9"/>
        <v/>
      </c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3"/>
      <c r="AB117" t="str">
        <f t="shared" si="10"/>
        <v/>
      </c>
      <c r="AC117">
        <f t="shared" si="11"/>
        <v>0</v>
      </c>
      <c r="AD117">
        <f t="shared" si="12"/>
        <v>0</v>
      </c>
      <c r="AE117" t="str">
        <f t="shared" si="13"/>
        <v/>
      </c>
      <c r="AF117" t="str">
        <f t="shared" si="14"/>
        <v/>
      </c>
      <c r="AG117">
        <f t="shared" si="15"/>
        <v>0</v>
      </c>
      <c r="AH117" t="str">
        <f t="shared" si="16"/>
        <v/>
      </c>
      <c r="AI117" t="str">
        <f t="shared" si="17"/>
        <v/>
      </c>
    </row>
    <row r="118" spans="1:35" x14ac:dyDescent="0.25">
      <c r="A118" s="23"/>
      <c r="B118" s="23"/>
      <c r="C118" s="23"/>
      <c r="D118" s="23"/>
      <c r="E118" s="23"/>
      <c r="F118" s="23"/>
      <c r="G118" s="23"/>
      <c r="H118" s="24"/>
      <c r="I118" s="24"/>
      <c r="J118" s="23"/>
      <c r="K118" s="25"/>
      <c r="L118" s="25"/>
      <c r="M118" s="26" t="str">
        <f t="shared" si="9"/>
        <v/>
      </c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3"/>
      <c r="AB118" t="str">
        <f t="shared" si="10"/>
        <v/>
      </c>
      <c r="AC118">
        <f t="shared" si="11"/>
        <v>0</v>
      </c>
      <c r="AD118">
        <f t="shared" si="12"/>
        <v>0</v>
      </c>
      <c r="AE118" t="str">
        <f t="shared" si="13"/>
        <v/>
      </c>
      <c r="AF118" t="str">
        <f t="shared" si="14"/>
        <v/>
      </c>
      <c r="AG118">
        <f t="shared" si="15"/>
        <v>0</v>
      </c>
      <c r="AH118" t="str">
        <f t="shared" si="16"/>
        <v/>
      </c>
      <c r="AI118" t="str">
        <f t="shared" si="17"/>
        <v/>
      </c>
    </row>
    <row r="119" spans="1:35" x14ac:dyDescent="0.25">
      <c r="A119" s="23"/>
      <c r="B119" s="23"/>
      <c r="C119" s="23"/>
      <c r="D119" s="23"/>
      <c r="E119" s="23"/>
      <c r="F119" s="23"/>
      <c r="G119" s="23"/>
      <c r="H119" s="24"/>
      <c r="I119" s="24"/>
      <c r="J119" s="23"/>
      <c r="K119" s="25"/>
      <c r="L119" s="25"/>
      <c r="M119" s="26" t="str">
        <f t="shared" si="9"/>
        <v/>
      </c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3"/>
      <c r="AB119" t="str">
        <f t="shared" si="10"/>
        <v/>
      </c>
      <c r="AC119">
        <f t="shared" si="11"/>
        <v>0</v>
      </c>
      <c r="AD119">
        <f t="shared" si="12"/>
        <v>0</v>
      </c>
      <c r="AE119" t="str">
        <f t="shared" si="13"/>
        <v/>
      </c>
      <c r="AF119" t="str">
        <f t="shared" si="14"/>
        <v/>
      </c>
      <c r="AG119">
        <f t="shared" si="15"/>
        <v>0</v>
      </c>
      <c r="AH119" t="str">
        <f t="shared" si="16"/>
        <v/>
      </c>
      <c r="AI119" t="str">
        <f t="shared" si="17"/>
        <v/>
      </c>
    </row>
    <row r="120" spans="1:35" x14ac:dyDescent="0.25">
      <c r="A120" s="23"/>
      <c r="B120" s="23"/>
      <c r="C120" s="23"/>
      <c r="D120" s="23"/>
      <c r="E120" s="23"/>
      <c r="F120" s="23"/>
      <c r="G120" s="23"/>
      <c r="H120" s="24"/>
      <c r="I120" s="24"/>
      <c r="J120" s="23"/>
      <c r="K120" s="25"/>
      <c r="L120" s="25"/>
      <c r="M120" s="26" t="str">
        <f t="shared" si="9"/>
        <v/>
      </c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3"/>
      <c r="AB120" t="str">
        <f t="shared" si="10"/>
        <v/>
      </c>
      <c r="AC120">
        <f t="shared" si="11"/>
        <v>0</v>
      </c>
      <c r="AD120">
        <f t="shared" si="12"/>
        <v>0</v>
      </c>
      <c r="AE120" t="str">
        <f t="shared" si="13"/>
        <v/>
      </c>
      <c r="AF120" t="str">
        <f t="shared" si="14"/>
        <v/>
      </c>
      <c r="AG120">
        <f t="shared" si="15"/>
        <v>0</v>
      </c>
      <c r="AH120" t="str">
        <f t="shared" si="16"/>
        <v/>
      </c>
      <c r="AI120" t="str">
        <f t="shared" si="17"/>
        <v/>
      </c>
    </row>
    <row r="121" spans="1:35" x14ac:dyDescent="0.25">
      <c r="A121" s="23"/>
      <c r="B121" s="23"/>
      <c r="C121" s="23"/>
      <c r="D121" s="23"/>
      <c r="E121" s="23"/>
      <c r="F121" s="23"/>
      <c r="G121" s="23"/>
      <c r="H121" s="24"/>
      <c r="I121" s="24"/>
      <c r="J121" s="23"/>
      <c r="K121" s="25"/>
      <c r="L121" s="25"/>
      <c r="M121" s="26" t="str">
        <f t="shared" si="9"/>
        <v/>
      </c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3"/>
      <c r="AB121" t="str">
        <f t="shared" si="10"/>
        <v/>
      </c>
      <c r="AC121">
        <f t="shared" si="11"/>
        <v>0</v>
      </c>
      <c r="AD121">
        <f t="shared" si="12"/>
        <v>0</v>
      </c>
      <c r="AE121" t="str">
        <f t="shared" si="13"/>
        <v/>
      </c>
      <c r="AF121" t="str">
        <f t="shared" si="14"/>
        <v/>
      </c>
      <c r="AG121">
        <f t="shared" si="15"/>
        <v>0</v>
      </c>
      <c r="AH121" t="str">
        <f t="shared" si="16"/>
        <v/>
      </c>
      <c r="AI121" t="str">
        <f t="shared" si="17"/>
        <v/>
      </c>
    </row>
    <row r="122" spans="1:35" x14ac:dyDescent="0.25">
      <c r="A122" s="23"/>
      <c r="B122" s="23"/>
      <c r="C122" s="23"/>
      <c r="D122" s="23"/>
      <c r="E122" s="23"/>
      <c r="F122" s="23"/>
      <c r="G122" s="23"/>
      <c r="H122" s="24"/>
      <c r="I122" s="24"/>
      <c r="J122" s="23"/>
      <c r="K122" s="25"/>
      <c r="L122" s="25"/>
      <c r="M122" s="26" t="str">
        <f t="shared" si="9"/>
        <v/>
      </c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3"/>
      <c r="AB122" t="str">
        <f t="shared" si="10"/>
        <v/>
      </c>
      <c r="AC122">
        <f t="shared" si="11"/>
        <v>0</v>
      </c>
      <c r="AD122">
        <f t="shared" si="12"/>
        <v>0</v>
      </c>
      <c r="AE122" t="str">
        <f t="shared" si="13"/>
        <v/>
      </c>
      <c r="AF122" t="str">
        <f t="shared" si="14"/>
        <v/>
      </c>
      <c r="AG122">
        <f t="shared" si="15"/>
        <v>0</v>
      </c>
      <c r="AH122" t="str">
        <f t="shared" si="16"/>
        <v/>
      </c>
      <c r="AI122" t="str">
        <f t="shared" si="17"/>
        <v/>
      </c>
    </row>
    <row r="123" spans="1:35" x14ac:dyDescent="0.25">
      <c r="A123" s="23"/>
      <c r="B123" s="23"/>
      <c r="C123" s="23"/>
      <c r="D123" s="23"/>
      <c r="E123" s="23"/>
      <c r="F123" s="23"/>
      <c r="G123" s="23"/>
      <c r="H123" s="24"/>
      <c r="I123" s="24"/>
      <c r="J123" s="23"/>
      <c r="K123" s="25"/>
      <c r="L123" s="25"/>
      <c r="M123" s="26" t="str">
        <f t="shared" si="9"/>
        <v/>
      </c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3"/>
      <c r="AB123" t="str">
        <f t="shared" si="10"/>
        <v/>
      </c>
      <c r="AC123">
        <f t="shared" si="11"/>
        <v>0</v>
      </c>
      <c r="AD123">
        <f t="shared" si="12"/>
        <v>0</v>
      </c>
      <c r="AE123" t="str">
        <f t="shared" si="13"/>
        <v/>
      </c>
      <c r="AF123" t="str">
        <f t="shared" si="14"/>
        <v/>
      </c>
      <c r="AG123">
        <f t="shared" si="15"/>
        <v>0</v>
      </c>
      <c r="AH123" t="str">
        <f t="shared" si="16"/>
        <v/>
      </c>
      <c r="AI123" t="str">
        <f t="shared" si="17"/>
        <v/>
      </c>
    </row>
    <row r="124" spans="1:35" x14ac:dyDescent="0.25">
      <c r="A124" s="23"/>
      <c r="B124" s="23"/>
      <c r="C124" s="23"/>
      <c r="D124" s="23"/>
      <c r="E124" s="23"/>
      <c r="F124" s="23"/>
      <c r="G124" s="23"/>
      <c r="H124" s="24"/>
      <c r="I124" s="24"/>
      <c r="J124" s="23"/>
      <c r="K124" s="25"/>
      <c r="L124" s="25"/>
      <c r="M124" s="26" t="str">
        <f t="shared" si="9"/>
        <v/>
      </c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3"/>
      <c r="AB124" t="str">
        <f t="shared" si="10"/>
        <v/>
      </c>
      <c r="AC124">
        <f t="shared" si="11"/>
        <v>0</v>
      </c>
      <c r="AD124">
        <f t="shared" si="12"/>
        <v>0</v>
      </c>
      <c r="AE124" t="str">
        <f t="shared" si="13"/>
        <v/>
      </c>
      <c r="AF124" t="str">
        <f t="shared" si="14"/>
        <v/>
      </c>
      <c r="AG124">
        <f t="shared" si="15"/>
        <v>0</v>
      </c>
      <c r="AH124" t="str">
        <f t="shared" si="16"/>
        <v/>
      </c>
      <c r="AI124" t="str">
        <f t="shared" si="17"/>
        <v/>
      </c>
    </row>
    <row r="125" spans="1:35" x14ac:dyDescent="0.25">
      <c r="A125" s="23"/>
      <c r="B125" s="23"/>
      <c r="C125" s="23"/>
      <c r="D125" s="23"/>
      <c r="E125" s="23"/>
      <c r="F125" s="23"/>
      <c r="G125" s="23"/>
      <c r="H125" s="24"/>
      <c r="I125" s="24"/>
      <c r="J125" s="23"/>
      <c r="K125" s="25"/>
      <c r="L125" s="25"/>
      <c r="M125" s="26" t="str">
        <f t="shared" si="9"/>
        <v/>
      </c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3"/>
      <c r="AB125" t="str">
        <f t="shared" si="10"/>
        <v/>
      </c>
      <c r="AC125">
        <f t="shared" si="11"/>
        <v>0</v>
      </c>
      <c r="AD125">
        <f t="shared" si="12"/>
        <v>0</v>
      </c>
      <c r="AE125" t="str">
        <f t="shared" si="13"/>
        <v/>
      </c>
      <c r="AF125" t="str">
        <f t="shared" si="14"/>
        <v/>
      </c>
      <c r="AG125">
        <f t="shared" si="15"/>
        <v>0</v>
      </c>
      <c r="AH125" t="str">
        <f t="shared" si="16"/>
        <v/>
      </c>
      <c r="AI125" t="str">
        <f t="shared" si="17"/>
        <v/>
      </c>
    </row>
    <row r="126" spans="1:35" x14ac:dyDescent="0.25">
      <c r="A126" s="23"/>
      <c r="B126" s="23"/>
      <c r="C126" s="23"/>
      <c r="D126" s="23"/>
      <c r="E126" s="23"/>
      <c r="F126" s="23"/>
      <c r="G126" s="23"/>
      <c r="H126" s="24"/>
      <c r="I126" s="24"/>
      <c r="J126" s="23"/>
      <c r="K126" s="25"/>
      <c r="L126" s="25"/>
      <c r="M126" s="26" t="str">
        <f t="shared" si="9"/>
        <v/>
      </c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3"/>
      <c r="AB126" t="str">
        <f t="shared" si="10"/>
        <v/>
      </c>
      <c r="AC126">
        <f t="shared" si="11"/>
        <v>0</v>
      </c>
      <c r="AD126">
        <f t="shared" si="12"/>
        <v>0</v>
      </c>
      <c r="AE126" t="str">
        <f t="shared" si="13"/>
        <v/>
      </c>
      <c r="AF126" t="str">
        <f t="shared" si="14"/>
        <v/>
      </c>
      <c r="AG126">
        <f t="shared" si="15"/>
        <v>0</v>
      </c>
      <c r="AH126" t="str">
        <f t="shared" si="16"/>
        <v/>
      </c>
      <c r="AI126" t="str">
        <f t="shared" si="17"/>
        <v/>
      </c>
    </row>
    <row r="127" spans="1:35" x14ac:dyDescent="0.25">
      <c r="A127" s="23"/>
      <c r="B127" s="23"/>
      <c r="C127" s="23"/>
      <c r="D127" s="23"/>
      <c r="E127" s="23"/>
      <c r="F127" s="23"/>
      <c r="G127" s="23"/>
      <c r="H127" s="24"/>
      <c r="I127" s="24"/>
      <c r="J127" s="23"/>
      <c r="K127" s="25"/>
      <c r="L127" s="25"/>
      <c r="M127" s="26" t="str">
        <f t="shared" si="9"/>
        <v/>
      </c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3"/>
      <c r="AB127" t="str">
        <f t="shared" si="10"/>
        <v/>
      </c>
      <c r="AC127">
        <f t="shared" si="11"/>
        <v>0</v>
      </c>
      <c r="AD127">
        <f t="shared" si="12"/>
        <v>0</v>
      </c>
      <c r="AE127" t="str">
        <f t="shared" si="13"/>
        <v/>
      </c>
      <c r="AF127" t="str">
        <f t="shared" si="14"/>
        <v/>
      </c>
      <c r="AG127">
        <f t="shared" si="15"/>
        <v>0</v>
      </c>
      <c r="AH127" t="str">
        <f t="shared" si="16"/>
        <v/>
      </c>
      <c r="AI127" t="str">
        <f t="shared" si="17"/>
        <v/>
      </c>
    </row>
    <row r="128" spans="1:35" x14ac:dyDescent="0.25">
      <c r="A128" s="23"/>
      <c r="B128" s="23"/>
      <c r="C128" s="23"/>
      <c r="D128" s="23"/>
      <c r="E128" s="23"/>
      <c r="F128" s="23"/>
      <c r="G128" s="23"/>
      <c r="H128" s="24"/>
      <c r="I128" s="24"/>
      <c r="J128" s="23"/>
      <c r="K128" s="25"/>
      <c r="L128" s="25"/>
      <c r="M128" s="26" t="str">
        <f t="shared" si="9"/>
        <v/>
      </c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3"/>
      <c r="AB128" t="str">
        <f t="shared" si="10"/>
        <v/>
      </c>
      <c r="AC128">
        <f t="shared" si="11"/>
        <v>0</v>
      </c>
      <c r="AD128">
        <f t="shared" si="12"/>
        <v>0</v>
      </c>
      <c r="AE128" t="str">
        <f t="shared" si="13"/>
        <v/>
      </c>
      <c r="AF128" t="str">
        <f t="shared" si="14"/>
        <v/>
      </c>
      <c r="AG128">
        <f t="shared" si="15"/>
        <v>0</v>
      </c>
      <c r="AH128" t="str">
        <f t="shared" si="16"/>
        <v/>
      </c>
      <c r="AI128" t="str">
        <f t="shared" si="17"/>
        <v/>
      </c>
    </row>
    <row r="129" spans="1:35" x14ac:dyDescent="0.25">
      <c r="A129" s="23"/>
      <c r="B129" s="23"/>
      <c r="C129" s="23"/>
      <c r="D129" s="23"/>
      <c r="E129" s="23"/>
      <c r="F129" s="23"/>
      <c r="G129" s="23"/>
      <c r="H129" s="24"/>
      <c r="I129" s="24"/>
      <c r="J129" s="23"/>
      <c r="K129" s="25"/>
      <c r="L129" s="25"/>
      <c r="M129" s="26" t="str">
        <f t="shared" si="9"/>
        <v/>
      </c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3"/>
      <c r="AB129" t="str">
        <f t="shared" si="10"/>
        <v/>
      </c>
      <c r="AC129">
        <f t="shared" si="11"/>
        <v>0</v>
      </c>
      <c r="AD129">
        <f t="shared" si="12"/>
        <v>0</v>
      </c>
      <c r="AE129" t="str">
        <f t="shared" si="13"/>
        <v/>
      </c>
      <c r="AF129" t="str">
        <f t="shared" si="14"/>
        <v/>
      </c>
      <c r="AG129">
        <f t="shared" si="15"/>
        <v>0</v>
      </c>
      <c r="AH129" t="str">
        <f t="shared" si="16"/>
        <v/>
      </c>
      <c r="AI129" t="str">
        <f t="shared" si="17"/>
        <v/>
      </c>
    </row>
    <row r="130" spans="1:35" x14ac:dyDescent="0.25">
      <c r="A130" s="23"/>
      <c r="B130" s="23"/>
      <c r="C130" s="23"/>
      <c r="D130" s="23"/>
      <c r="E130" s="23"/>
      <c r="F130" s="23"/>
      <c r="G130" s="23"/>
      <c r="H130" s="24"/>
      <c r="I130" s="24"/>
      <c r="J130" s="23"/>
      <c r="K130" s="25"/>
      <c r="L130" s="25"/>
      <c r="M130" s="26" t="str">
        <f t="shared" ref="M130:M193" si="18">IF(AB130="","",IF(AE130&lt;&gt;"","⚠ "&amp;AE130,"✔ "&amp;AI130&amp;IF(AG130&gt;0," · ⚠ "&amp;AG130&amp;IF(AG130=1," fecha cae"," fechas caen")&amp;" en festivo"&amp;IF(OR(AB130="Un día",AB130="Fechas específicas"),": revise la fecha",": se pasará al día hábil siguiente"),"")))</f>
        <v/>
      </c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3"/>
      <c r="AB130" t="str">
        <f t="shared" ref="AB130:AB193" si="19">IF(COUNTA(A130:L130,N130:Y130)=0,"",IF(OR(J130="En fechas específicas",AND(OR(J130="",J130="No"),K130="",COUNT(N130:Y130)&gt;0)),"Fechas específicas",IF(OR(J130="",J130="No"),IF(OR(L130="",L130=K130),"Un día","Varios días"),J130)))</f>
        <v/>
      </c>
      <c r="AC130">
        <f t="shared" ref="AC130:AC193" si="20">IF(AB130="Cada mes",1,IF(AB130="Cada 2 meses",2,IF(AB130="Cada 3 meses",3,IF(AB130="Cada 6 meses",6,0))))</f>
        <v>0</v>
      </c>
      <c r="AD130">
        <f t="shared" ref="AD130:AD193" si="21">IF(ISNUMBER(K130),INT((DAY(K130)-1)/7)+1,0)</f>
        <v>0</v>
      </c>
      <c r="AE130" t="str">
        <f t="shared" ref="AE130:AE193" si="22">IF(AB130="","",IF(A130="","Falta el nombre de la actividad",IF(B130="","Falta la categoría",IF(COUNTIF(Lista_Categoria,B130)=0,"Elija la categoría de la lista",IF(AND(F130="",SedePrincipal=""),"Falta la sede: elíjala aquí o en «1. Datos del área»",IF(AND(F130&lt;&gt;"",COUNTIF(Lista_Sede,F130)=0),"Elija la sede de la lista",IF(AND(E130="",CalendarioPrincipal=""),"Falta el calendario (Académico o Administrativo): elíjalo aquí o en «1. Datos del área»",IF(AND(E130&lt;&gt;"",COUNTIF(Lista_Calendario,E130)=0),"Elija el calendario de la lista",IF(G130="","Falta el lugar",IF(OR(AND(H130&lt;&gt;"",NOT(ISNUMBER(H130))),AND(I130&lt;&gt;"",NOT(ISNUMBER(I130)))),"Hora no válida: use hh:mm (ej. 14:30)",IF(AND(ISNUMBER(H130),ISNUMBER(I130),I130&lt;H130),"La hora fin es antes de la hora inicio",IF(AND(J130&lt;&gt;"",COUNTIF(Lista_Repite,J130)=0),"Elija una opción de la lista «¿Se repite?»",IF(AB130="Fechas específicas",IF(COUNTA(N130:Y130)&lt;&gt;COUNT(N130:Y130),"Alguna fecha de Fecha 1 a Fecha 12 no es válida: use dd/mm/aaaa",IF(COUNT(N130:Y130)=0,"Escriba las fechas en Fecha 1, Fecha 2…","")),IF(COUNTA(N130:Y130)&gt;0,"Escribió fechas en Fecha 1…12: elija «En fechas específicas» o bórrelas",IF(K130="","Falta la fecha en «Desde»",IF(NOT(ISNUMBER(K130)),"La fecha «Desde» no es válida: use dd/mm/aaaa",IF(AND(L130&lt;&gt;"",NOT(ISNUMBER(L130))),"La fecha «Hasta» no es válida: use dd/mm/aaaa",IF(AND(ISNUMBER(L130),L130&lt;K130),"«Hasta» es antes de «Desde»",IF(AND(AB130&lt;&gt;"Un día",AB130&lt;&gt;"Varios días",L130=""),"Falta «Hasta»: la última fecha en que se repite",IF(AND(ISNUMBER(L130),L130-K130&gt;730),"El periodo no puede pasar de 2 años",""))))))))))))))))))))</f>
        <v/>
      </c>
      <c r="AF130" t="str">
        <f t="shared" ref="AF130:AF193" si="23">IF(OR(AB130="",AE130&lt;&gt;""),"",IF(AB130="Fechas específicas",COUNT(N130:Y130),IF(OR(AB130="Un día",AB130="Varios días"),1,SUMPRODUCT((Dias&lt;=L130-K130)*((AB130="Cada semana")*(MOD(Dias,7)=0)+(AB130="Cada 15 días")*(MOD(Dias,14)=0)+(AC130&gt;0)*(WEEKDAY(K130+Dias)=WEEKDAY(K130))*((AD130=5)*(MONTH(K130+Dias+7)&lt;&gt;MONTH(K130+Dias))+(AD130&lt;5)*(INT((DAY(K130+Dias)-1)/7)+1=AD130))*(MOD((YEAR(K130+Dias)-YEAR(K130))*12+MONTH(K130+Dias)-MONTH(K130),MAX(AC130,1))=0))))))</f>
        <v/>
      </c>
      <c r="AG130">
        <f t="shared" ref="AG130:AG193" si="24">IF(AF130="",0,IF(AB130="Fechas específicas",SUMPRODUCT(COUNTIF(Festivos,N130:Y130)),IF(AB130="Un día",COUNTIF(Festivos,K130),IF(AB130="Varios días",0,SUMPRODUCT((Dias&lt;=L130-K130)*((AB130="Cada semana")*(MOD(Dias,7)=0)+(AB130="Cada 15 días")*(MOD(Dias,14)=0)+(AC130&gt;0)*(WEEKDAY(K130+Dias)=WEEKDAY(K130))*((AD130=5)*(MONTH(K130+Dias+7)&lt;&gt;MONTH(K130+Dias))+(AD130&lt;5)*(INT((DAY(K130+Dias)-1)/7)+1=AD130))*(MOD((YEAR(K130+Dias)-YEAR(K130))*12+MONTH(K130+Dias)-MONTH(K130),MAX(AC130,1))=0))*COUNTIF(Festivos,K130+Dias))))))</f>
        <v>0</v>
      </c>
      <c r="AH130" t="str">
        <f t="shared" ref="AH130:AH193" si="25">IF(AB130&lt;&gt;"Fechas específicas","",IF(ISNUMBER(N130),DAY(N130)&amp;" "&amp;CHOOSE(MONTH(N130),"ene","feb","mar","abr","may","jun","jul","ago","sep","oct","nov","dic")&amp;", ","")&amp;IF(ISNUMBER(O130),DAY(O130)&amp;" "&amp;CHOOSE(MONTH(O130),"ene","feb","mar","abr","may","jun","jul","ago","sep","oct","nov","dic")&amp;", ","")&amp;IF(ISNUMBER(P130),DAY(P130)&amp;" "&amp;CHOOSE(MONTH(P130),"ene","feb","mar","abr","may","jun","jul","ago","sep","oct","nov","dic")&amp;", ","")&amp;IF(ISNUMBER(Q130),DAY(Q130)&amp;" "&amp;CHOOSE(MONTH(Q130),"ene","feb","mar","abr","may","jun","jul","ago","sep","oct","nov","dic")&amp;", ","")&amp;IF(ISNUMBER(R130),DAY(R130)&amp;" "&amp;CHOOSE(MONTH(R130),"ene","feb","mar","abr","may","jun","jul","ago","sep","oct","nov","dic")&amp;", ","")&amp;IF(ISNUMBER(S130),DAY(S130)&amp;" "&amp;CHOOSE(MONTH(S130),"ene","feb","mar","abr","may","jun","jul","ago","sep","oct","nov","dic")&amp;", ","")&amp;IF(ISNUMBER(T130),DAY(T130)&amp;" "&amp;CHOOSE(MONTH(T130),"ene","feb","mar","abr","may","jun","jul","ago","sep","oct","nov","dic")&amp;", ","")&amp;IF(ISNUMBER(U130),DAY(U130)&amp;" "&amp;CHOOSE(MONTH(U130),"ene","feb","mar","abr","may","jun","jul","ago","sep","oct","nov","dic")&amp;", ","")&amp;IF(ISNUMBER(V130),DAY(V130)&amp;" "&amp;CHOOSE(MONTH(V130),"ene","feb","mar","abr","may","jun","jul","ago","sep","oct","nov","dic")&amp;", ","")&amp;IF(ISNUMBER(W130),DAY(W130)&amp;" "&amp;CHOOSE(MONTH(W130),"ene","feb","mar","abr","may","jun","jul","ago","sep","oct","nov","dic")&amp;", ","")&amp;IF(ISNUMBER(X130),DAY(X130)&amp;" "&amp;CHOOSE(MONTH(X130),"ene","feb","mar","abr","may","jun","jul","ago","sep","oct","nov","dic")&amp;", ","")&amp;IF(ISNUMBER(Y130),DAY(Y130)&amp;" "&amp;CHOOSE(MONTH(Y130),"ene","feb","mar","abr","may","jun","jul","ago","sep","oct","nov","dic")&amp;", ",""))</f>
        <v/>
      </c>
      <c r="AI130" t="str">
        <f t="shared" ref="AI130:AI193" si="26">IF(OR(AB130="",AE130&lt;&gt;""),"",IF(AB130="Un día","Un día: "&amp;CHOOSE(WEEKDAY(K130,2),"lunes","martes","miércoles","jueves","viernes","sábado","domingo")&amp;" "&amp;TEXT(DAY(K130),"00")&amp;"/"&amp;TEXT(MONTH(K130),"00")&amp;"/"&amp;YEAR(K130),IF(AB130="Varios días","Del "&amp;TEXT(DAY(K130),"00")&amp;"/"&amp;TEXT(MONTH(K130),"00")&amp;"/"&amp;YEAR(K130)&amp;" al "&amp;TEXT(DAY(L130),"00")&amp;"/"&amp;TEXT(MONTH(L130),"00")&amp;"/"&amp;YEAR(L130)&amp;" ("&amp;(L130-K130+1)&amp;" días)",IF(AB130="Fechas específicas",AF130&amp;IF(AF130=1," fecha: "," fechas: ")&amp;LEFT(AH130,LEN(AH130)-2),IF(AB130="Cada semana","Todos los "&amp;CHOOSE(WEEKDAY(K130,2),"lunes","martes","miércoles","jueves","viernes","sábados","domingos"),IF(AB130="Cada 15 días","Cada 15 días ("&amp;CHOOSE(WEEKDAY(K130,2),"lunes","martes","miércoles","jueves","viernes","sábados","domingos")&amp;" de por medio)",CHOOSE(AD130,"Primer","Segundo","Tercer","Cuarto","Último")&amp;" "&amp;CHOOSE(WEEKDAY(K130,2),"lunes","martes","miércoles","jueves","viernes","sábado","domingo")&amp;IF(AC130=1," de cada mes"," cada "&amp;AC130&amp;" meses")))&amp;", del "&amp;TEXT(DAY(K130),"00")&amp;"/"&amp;TEXT(MONTH(K130),"00")&amp;"/"&amp;YEAR(K130)&amp;" al "&amp;TEXT(DAY(L130),"00")&amp;"/"&amp;TEXT(MONTH(L130),"00")&amp;"/"&amp;YEAR(L130)&amp;" · "&amp;AF130&amp;IF(AF130=1," fecha"," fechas")))))</f>
        <v/>
      </c>
    </row>
    <row r="131" spans="1:35" x14ac:dyDescent="0.25">
      <c r="A131" s="23"/>
      <c r="B131" s="23"/>
      <c r="C131" s="23"/>
      <c r="D131" s="23"/>
      <c r="E131" s="23"/>
      <c r="F131" s="23"/>
      <c r="G131" s="23"/>
      <c r="H131" s="24"/>
      <c r="I131" s="24"/>
      <c r="J131" s="23"/>
      <c r="K131" s="25"/>
      <c r="L131" s="25"/>
      <c r="M131" s="26" t="str">
        <f t="shared" si="18"/>
        <v/>
      </c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3"/>
      <c r="AB131" t="str">
        <f t="shared" si="19"/>
        <v/>
      </c>
      <c r="AC131">
        <f t="shared" si="20"/>
        <v>0</v>
      </c>
      <c r="AD131">
        <f t="shared" si="21"/>
        <v>0</v>
      </c>
      <c r="AE131" t="str">
        <f t="shared" si="22"/>
        <v/>
      </c>
      <c r="AF131" t="str">
        <f t="shared" si="23"/>
        <v/>
      </c>
      <c r="AG131">
        <f t="shared" si="24"/>
        <v>0</v>
      </c>
      <c r="AH131" t="str">
        <f t="shared" si="25"/>
        <v/>
      </c>
      <c r="AI131" t="str">
        <f t="shared" si="26"/>
        <v/>
      </c>
    </row>
    <row r="132" spans="1:35" x14ac:dyDescent="0.25">
      <c r="A132" s="23"/>
      <c r="B132" s="23"/>
      <c r="C132" s="23"/>
      <c r="D132" s="23"/>
      <c r="E132" s="23"/>
      <c r="F132" s="23"/>
      <c r="G132" s="23"/>
      <c r="H132" s="24"/>
      <c r="I132" s="24"/>
      <c r="J132" s="23"/>
      <c r="K132" s="25"/>
      <c r="L132" s="25"/>
      <c r="M132" s="26" t="str">
        <f t="shared" si="18"/>
        <v/>
      </c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3"/>
      <c r="AB132" t="str">
        <f t="shared" si="19"/>
        <v/>
      </c>
      <c r="AC132">
        <f t="shared" si="20"/>
        <v>0</v>
      </c>
      <c r="AD132">
        <f t="shared" si="21"/>
        <v>0</v>
      </c>
      <c r="AE132" t="str">
        <f t="shared" si="22"/>
        <v/>
      </c>
      <c r="AF132" t="str">
        <f t="shared" si="23"/>
        <v/>
      </c>
      <c r="AG132">
        <f t="shared" si="24"/>
        <v>0</v>
      </c>
      <c r="AH132" t="str">
        <f t="shared" si="25"/>
        <v/>
      </c>
      <c r="AI132" t="str">
        <f t="shared" si="26"/>
        <v/>
      </c>
    </row>
    <row r="133" spans="1:35" x14ac:dyDescent="0.25">
      <c r="A133" s="23"/>
      <c r="B133" s="23"/>
      <c r="C133" s="23"/>
      <c r="D133" s="23"/>
      <c r="E133" s="23"/>
      <c r="F133" s="23"/>
      <c r="G133" s="23"/>
      <c r="H133" s="24"/>
      <c r="I133" s="24"/>
      <c r="J133" s="23"/>
      <c r="K133" s="25"/>
      <c r="L133" s="25"/>
      <c r="M133" s="26" t="str">
        <f t="shared" si="18"/>
        <v/>
      </c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3"/>
      <c r="AB133" t="str">
        <f t="shared" si="19"/>
        <v/>
      </c>
      <c r="AC133">
        <f t="shared" si="20"/>
        <v>0</v>
      </c>
      <c r="AD133">
        <f t="shared" si="21"/>
        <v>0</v>
      </c>
      <c r="AE133" t="str">
        <f t="shared" si="22"/>
        <v/>
      </c>
      <c r="AF133" t="str">
        <f t="shared" si="23"/>
        <v/>
      </c>
      <c r="AG133">
        <f t="shared" si="24"/>
        <v>0</v>
      </c>
      <c r="AH133" t="str">
        <f t="shared" si="25"/>
        <v/>
      </c>
      <c r="AI133" t="str">
        <f t="shared" si="26"/>
        <v/>
      </c>
    </row>
    <row r="134" spans="1:35" x14ac:dyDescent="0.25">
      <c r="A134" s="23"/>
      <c r="B134" s="23"/>
      <c r="C134" s="23"/>
      <c r="D134" s="23"/>
      <c r="E134" s="23"/>
      <c r="F134" s="23"/>
      <c r="G134" s="23"/>
      <c r="H134" s="24"/>
      <c r="I134" s="24"/>
      <c r="J134" s="23"/>
      <c r="K134" s="25"/>
      <c r="L134" s="25"/>
      <c r="M134" s="26" t="str">
        <f t="shared" si="18"/>
        <v/>
      </c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3"/>
      <c r="AB134" t="str">
        <f t="shared" si="19"/>
        <v/>
      </c>
      <c r="AC134">
        <f t="shared" si="20"/>
        <v>0</v>
      </c>
      <c r="AD134">
        <f t="shared" si="21"/>
        <v>0</v>
      </c>
      <c r="AE134" t="str">
        <f t="shared" si="22"/>
        <v/>
      </c>
      <c r="AF134" t="str">
        <f t="shared" si="23"/>
        <v/>
      </c>
      <c r="AG134">
        <f t="shared" si="24"/>
        <v>0</v>
      </c>
      <c r="AH134" t="str">
        <f t="shared" si="25"/>
        <v/>
      </c>
      <c r="AI134" t="str">
        <f t="shared" si="26"/>
        <v/>
      </c>
    </row>
    <row r="135" spans="1:35" x14ac:dyDescent="0.25">
      <c r="A135" s="23"/>
      <c r="B135" s="23"/>
      <c r="C135" s="23"/>
      <c r="D135" s="23"/>
      <c r="E135" s="23"/>
      <c r="F135" s="23"/>
      <c r="G135" s="23"/>
      <c r="H135" s="24"/>
      <c r="I135" s="24"/>
      <c r="J135" s="23"/>
      <c r="K135" s="25"/>
      <c r="L135" s="25"/>
      <c r="M135" s="26" t="str">
        <f t="shared" si="18"/>
        <v/>
      </c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3"/>
      <c r="AB135" t="str">
        <f t="shared" si="19"/>
        <v/>
      </c>
      <c r="AC135">
        <f t="shared" si="20"/>
        <v>0</v>
      </c>
      <c r="AD135">
        <f t="shared" si="21"/>
        <v>0</v>
      </c>
      <c r="AE135" t="str">
        <f t="shared" si="22"/>
        <v/>
      </c>
      <c r="AF135" t="str">
        <f t="shared" si="23"/>
        <v/>
      </c>
      <c r="AG135">
        <f t="shared" si="24"/>
        <v>0</v>
      </c>
      <c r="AH135" t="str">
        <f t="shared" si="25"/>
        <v/>
      </c>
      <c r="AI135" t="str">
        <f t="shared" si="26"/>
        <v/>
      </c>
    </row>
    <row r="136" spans="1:35" x14ac:dyDescent="0.25">
      <c r="A136" s="23"/>
      <c r="B136" s="23"/>
      <c r="C136" s="23"/>
      <c r="D136" s="23"/>
      <c r="E136" s="23"/>
      <c r="F136" s="23"/>
      <c r="G136" s="23"/>
      <c r="H136" s="24"/>
      <c r="I136" s="24"/>
      <c r="J136" s="23"/>
      <c r="K136" s="25"/>
      <c r="L136" s="25"/>
      <c r="M136" s="26" t="str">
        <f t="shared" si="18"/>
        <v/>
      </c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3"/>
      <c r="AB136" t="str">
        <f t="shared" si="19"/>
        <v/>
      </c>
      <c r="AC136">
        <f t="shared" si="20"/>
        <v>0</v>
      </c>
      <c r="AD136">
        <f t="shared" si="21"/>
        <v>0</v>
      </c>
      <c r="AE136" t="str">
        <f t="shared" si="22"/>
        <v/>
      </c>
      <c r="AF136" t="str">
        <f t="shared" si="23"/>
        <v/>
      </c>
      <c r="AG136">
        <f t="shared" si="24"/>
        <v>0</v>
      </c>
      <c r="AH136" t="str">
        <f t="shared" si="25"/>
        <v/>
      </c>
      <c r="AI136" t="str">
        <f t="shared" si="26"/>
        <v/>
      </c>
    </row>
    <row r="137" spans="1:35" x14ac:dyDescent="0.25">
      <c r="A137" s="23"/>
      <c r="B137" s="23"/>
      <c r="C137" s="23"/>
      <c r="D137" s="23"/>
      <c r="E137" s="23"/>
      <c r="F137" s="23"/>
      <c r="G137" s="23"/>
      <c r="H137" s="24"/>
      <c r="I137" s="24"/>
      <c r="J137" s="23"/>
      <c r="K137" s="25"/>
      <c r="L137" s="25"/>
      <c r="M137" s="26" t="str">
        <f t="shared" si="18"/>
        <v/>
      </c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3"/>
      <c r="AB137" t="str">
        <f t="shared" si="19"/>
        <v/>
      </c>
      <c r="AC137">
        <f t="shared" si="20"/>
        <v>0</v>
      </c>
      <c r="AD137">
        <f t="shared" si="21"/>
        <v>0</v>
      </c>
      <c r="AE137" t="str">
        <f t="shared" si="22"/>
        <v/>
      </c>
      <c r="AF137" t="str">
        <f t="shared" si="23"/>
        <v/>
      </c>
      <c r="AG137">
        <f t="shared" si="24"/>
        <v>0</v>
      </c>
      <c r="AH137" t="str">
        <f t="shared" si="25"/>
        <v/>
      </c>
      <c r="AI137" t="str">
        <f t="shared" si="26"/>
        <v/>
      </c>
    </row>
    <row r="138" spans="1:35" x14ac:dyDescent="0.25">
      <c r="A138" s="23"/>
      <c r="B138" s="23"/>
      <c r="C138" s="23"/>
      <c r="D138" s="23"/>
      <c r="E138" s="23"/>
      <c r="F138" s="23"/>
      <c r="G138" s="23"/>
      <c r="H138" s="24"/>
      <c r="I138" s="24"/>
      <c r="J138" s="23"/>
      <c r="K138" s="25"/>
      <c r="L138" s="25"/>
      <c r="M138" s="26" t="str">
        <f t="shared" si="18"/>
        <v/>
      </c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3"/>
      <c r="AB138" t="str">
        <f t="shared" si="19"/>
        <v/>
      </c>
      <c r="AC138">
        <f t="shared" si="20"/>
        <v>0</v>
      </c>
      <c r="AD138">
        <f t="shared" si="21"/>
        <v>0</v>
      </c>
      <c r="AE138" t="str">
        <f t="shared" si="22"/>
        <v/>
      </c>
      <c r="AF138" t="str">
        <f t="shared" si="23"/>
        <v/>
      </c>
      <c r="AG138">
        <f t="shared" si="24"/>
        <v>0</v>
      </c>
      <c r="AH138" t="str">
        <f t="shared" si="25"/>
        <v/>
      </c>
      <c r="AI138" t="str">
        <f t="shared" si="26"/>
        <v/>
      </c>
    </row>
    <row r="139" spans="1:35" x14ac:dyDescent="0.25">
      <c r="A139" s="23"/>
      <c r="B139" s="23"/>
      <c r="C139" s="23"/>
      <c r="D139" s="23"/>
      <c r="E139" s="23"/>
      <c r="F139" s="23"/>
      <c r="G139" s="23"/>
      <c r="H139" s="24"/>
      <c r="I139" s="24"/>
      <c r="J139" s="23"/>
      <c r="K139" s="25"/>
      <c r="L139" s="25"/>
      <c r="M139" s="26" t="str">
        <f t="shared" si="18"/>
        <v/>
      </c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3"/>
      <c r="AB139" t="str">
        <f t="shared" si="19"/>
        <v/>
      </c>
      <c r="AC139">
        <f t="shared" si="20"/>
        <v>0</v>
      </c>
      <c r="AD139">
        <f t="shared" si="21"/>
        <v>0</v>
      </c>
      <c r="AE139" t="str">
        <f t="shared" si="22"/>
        <v/>
      </c>
      <c r="AF139" t="str">
        <f t="shared" si="23"/>
        <v/>
      </c>
      <c r="AG139">
        <f t="shared" si="24"/>
        <v>0</v>
      </c>
      <c r="AH139" t="str">
        <f t="shared" si="25"/>
        <v/>
      </c>
      <c r="AI139" t="str">
        <f t="shared" si="26"/>
        <v/>
      </c>
    </row>
    <row r="140" spans="1:35" x14ac:dyDescent="0.25">
      <c r="A140" s="23"/>
      <c r="B140" s="23"/>
      <c r="C140" s="23"/>
      <c r="D140" s="23"/>
      <c r="E140" s="23"/>
      <c r="F140" s="23"/>
      <c r="G140" s="23"/>
      <c r="H140" s="24"/>
      <c r="I140" s="24"/>
      <c r="J140" s="23"/>
      <c r="K140" s="25"/>
      <c r="L140" s="25"/>
      <c r="M140" s="26" t="str">
        <f t="shared" si="18"/>
        <v/>
      </c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3"/>
      <c r="AB140" t="str">
        <f t="shared" si="19"/>
        <v/>
      </c>
      <c r="AC140">
        <f t="shared" si="20"/>
        <v>0</v>
      </c>
      <c r="AD140">
        <f t="shared" si="21"/>
        <v>0</v>
      </c>
      <c r="AE140" t="str">
        <f t="shared" si="22"/>
        <v/>
      </c>
      <c r="AF140" t="str">
        <f t="shared" si="23"/>
        <v/>
      </c>
      <c r="AG140">
        <f t="shared" si="24"/>
        <v>0</v>
      </c>
      <c r="AH140" t="str">
        <f t="shared" si="25"/>
        <v/>
      </c>
      <c r="AI140" t="str">
        <f t="shared" si="26"/>
        <v/>
      </c>
    </row>
    <row r="141" spans="1:35" x14ac:dyDescent="0.25">
      <c r="A141" s="23"/>
      <c r="B141" s="23"/>
      <c r="C141" s="23"/>
      <c r="D141" s="23"/>
      <c r="E141" s="23"/>
      <c r="F141" s="23"/>
      <c r="G141" s="23"/>
      <c r="H141" s="24"/>
      <c r="I141" s="24"/>
      <c r="J141" s="23"/>
      <c r="K141" s="25"/>
      <c r="L141" s="25"/>
      <c r="M141" s="26" t="str">
        <f t="shared" si="18"/>
        <v/>
      </c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3"/>
      <c r="AB141" t="str">
        <f t="shared" si="19"/>
        <v/>
      </c>
      <c r="AC141">
        <f t="shared" si="20"/>
        <v>0</v>
      </c>
      <c r="AD141">
        <f t="shared" si="21"/>
        <v>0</v>
      </c>
      <c r="AE141" t="str">
        <f t="shared" si="22"/>
        <v/>
      </c>
      <c r="AF141" t="str">
        <f t="shared" si="23"/>
        <v/>
      </c>
      <c r="AG141">
        <f t="shared" si="24"/>
        <v>0</v>
      </c>
      <c r="AH141" t="str">
        <f t="shared" si="25"/>
        <v/>
      </c>
      <c r="AI141" t="str">
        <f t="shared" si="26"/>
        <v/>
      </c>
    </row>
    <row r="142" spans="1:35" x14ac:dyDescent="0.25">
      <c r="A142" s="23"/>
      <c r="B142" s="23"/>
      <c r="C142" s="23"/>
      <c r="D142" s="23"/>
      <c r="E142" s="23"/>
      <c r="F142" s="23"/>
      <c r="G142" s="23"/>
      <c r="H142" s="24"/>
      <c r="I142" s="24"/>
      <c r="J142" s="23"/>
      <c r="K142" s="25"/>
      <c r="L142" s="25"/>
      <c r="M142" s="26" t="str">
        <f t="shared" si="18"/>
        <v/>
      </c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3"/>
      <c r="AB142" t="str">
        <f t="shared" si="19"/>
        <v/>
      </c>
      <c r="AC142">
        <f t="shared" si="20"/>
        <v>0</v>
      </c>
      <c r="AD142">
        <f t="shared" si="21"/>
        <v>0</v>
      </c>
      <c r="AE142" t="str">
        <f t="shared" si="22"/>
        <v/>
      </c>
      <c r="AF142" t="str">
        <f t="shared" si="23"/>
        <v/>
      </c>
      <c r="AG142">
        <f t="shared" si="24"/>
        <v>0</v>
      </c>
      <c r="AH142" t="str">
        <f t="shared" si="25"/>
        <v/>
      </c>
      <c r="AI142" t="str">
        <f t="shared" si="26"/>
        <v/>
      </c>
    </row>
    <row r="143" spans="1:35" x14ac:dyDescent="0.25">
      <c r="A143" s="23"/>
      <c r="B143" s="23"/>
      <c r="C143" s="23"/>
      <c r="D143" s="23"/>
      <c r="E143" s="23"/>
      <c r="F143" s="23"/>
      <c r="G143" s="23"/>
      <c r="H143" s="24"/>
      <c r="I143" s="24"/>
      <c r="J143" s="23"/>
      <c r="K143" s="25"/>
      <c r="L143" s="25"/>
      <c r="M143" s="26" t="str">
        <f t="shared" si="18"/>
        <v/>
      </c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3"/>
      <c r="AB143" t="str">
        <f t="shared" si="19"/>
        <v/>
      </c>
      <c r="AC143">
        <f t="shared" si="20"/>
        <v>0</v>
      </c>
      <c r="AD143">
        <f t="shared" si="21"/>
        <v>0</v>
      </c>
      <c r="AE143" t="str">
        <f t="shared" si="22"/>
        <v/>
      </c>
      <c r="AF143" t="str">
        <f t="shared" si="23"/>
        <v/>
      </c>
      <c r="AG143">
        <f t="shared" si="24"/>
        <v>0</v>
      </c>
      <c r="AH143" t="str">
        <f t="shared" si="25"/>
        <v/>
      </c>
      <c r="AI143" t="str">
        <f t="shared" si="26"/>
        <v/>
      </c>
    </row>
    <row r="144" spans="1:35" x14ac:dyDescent="0.25">
      <c r="A144" s="23"/>
      <c r="B144" s="23"/>
      <c r="C144" s="23"/>
      <c r="D144" s="23"/>
      <c r="E144" s="23"/>
      <c r="F144" s="23"/>
      <c r="G144" s="23"/>
      <c r="H144" s="24"/>
      <c r="I144" s="24"/>
      <c r="J144" s="23"/>
      <c r="K144" s="25"/>
      <c r="L144" s="25"/>
      <c r="M144" s="26" t="str">
        <f t="shared" si="18"/>
        <v/>
      </c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3"/>
      <c r="AB144" t="str">
        <f t="shared" si="19"/>
        <v/>
      </c>
      <c r="AC144">
        <f t="shared" si="20"/>
        <v>0</v>
      </c>
      <c r="AD144">
        <f t="shared" si="21"/>
        <v>0</v>
      </c>
      <c r="AE144" t="str">
        <f t="shared" si="22"/>
        <v/>
      </c>
      <c r="AF144" t="str">
        <f t="shared" si="23"/>
        <v/>
      </c>
      <c r="AG144">
        <f t="shared" si="24"/>
        <v>0</v>
      </c>
      <c r="AH144" t="str">
        <f t="shared" si="25"/>
        <v/>
      </c>
      <c r="AI144" t="str">
        <f t="shared" si="26"/>
        <v/>
      </c>
    </row>
    <row r="145" spans="1:35" x14ac:dyDescent="0.25">
      <c r="A145" s="23"/>
      <c r="B145" s="23"/>
      <c r="C145" s="23"/>
      <c r="D145" s="23"/>
      <c r="E145" s="23"/>
      <c r="F145" s="23"/>
      <c r="G145" s="23"/>
      <c r="H145" s="24"/>
      <c r="I145" s="24"/>
      <c r="J145" s="23"/>
      <c r="K145" s="25"/>
      <c r="L145" s="25"/>
      <c r="M145" s="26" t="str">
        <f t="shared" si="18"/>
        <v/>
      </c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3"/>
      <c r="AB145" t="str">
        <f t="shared" si="19"/>
        <v/>
      </c>
      <c r="AC145">
        <f t="shared" si="20"/>
        <v>0</v>
      </c>
      <c r="AD145">
        <f t="shared" si="21"/>
        <v>0</v>
      </c>
      <c r="AE145" t="str">
        <f t="shared" si="22"/>
        <v/>
      </c>
      <c r="AF145" t="str">
        <f t="shared" si="23"/>
        <v/>
      </c>
      <c r="AG145">
        <f t="shared" si="24"/>
        <v>0</v>
      </c>
      <c r="AH145" t="str">
        <f t="shared" si="25"/>
        <v/>
      </c>
      <c r="AI145" t="str">
        <f t="shared" si="26"/>
        <v/>
      </c>
    </row>
    <row r="146" spans="1:35" x14ac:dyDescent="0.25">
      <c r="A146" s="23"/>
      <c r="B146" s="23"/>
      <c r="C146" s="23"/>
      <c r="D146" s="23"/>
      <c r="E146" s="23"/>
      <c r="F146" s="23"/>
      <c r="G146" s="23"/>
      <c r="H146" s="24"/>
      <c r="I146" s="24"/>
      <c r="J146" s="23"/>
      <c r="K146" s="25"/>
      <c r="L146" s="25"/>
      <c r="M146" s="26" t="str">
        <f t="shared" si="18"/>
        <v/>
      </c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3"/>
      <c r="AB146" t="str">
        <f t="shared" si="19"/>
        <v/>
      </c>
      <c r="AC146">
        <f t="shared" si="20"/>
        <v>0</v>
      </c>
      <c r="AD146">
        <f t="shared" si="21"/>
        <v>0</v>
      </c>
      <c r="AE146" t="str">
        <f t="shared" si="22"/>
        <v/>
      </c>
      <c r="AF146" t="str">
        <f t="shared" si="23"/>
        <v/>
      </c>
      <c r="AG146">
        <f t="shared" si="24"/>
        <v>0</v>
      </c>
      <c r="AH146" t="str">
        <f t="shared" si="25"/>
        <v/>
      </c>
      <c r="AI146" t="str">
        <f t="shared" si="26"/>
        <v/>
      </c>
    </row>
    <row r="147" spans="1:35" x14ac:dyDescent="0.25">
      <c r="A147" s="23"/>
      <c r="B147" s="23"/>
      <c r="C147" s="23"/>
      <c r="D147" s="23"/>
      <c r="E147" s="23"/>
      <c r="F147" s="23"/>
      <c r="G147" s="23"/>
      <c r="H147" s="24"/>
      <c r="I147" s="24"/>
      <c r="J147" s="23"/>
      <c r="K147" s="25"/>
      <c r="L147" s="25"/>
      <c r="M147" s="26" t="str">
        <f t="shared" si="18"/>
        <v/>
      </c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3"/>
      <c r="AB147" t="str">
        <f t="shared" si="19"/>
        <v/>
      </c>
      <c r="AC147">
        <f t="shared" si="20"/>
        <v>0</v>
      </c>
      <c r="AD147">
        <f t="shared" si="21"/>
        <v>0</v>
      </c>
      <c r="AE147" t="str">
        <f t="shared" si="22"/>
        <v/>
      </c>
      <c r="AF147" t="str">
        <f t="shared" si="23"/>
        <v/>
      </c>
      <c r="AG147">
        <f t="shared" si="24"/>
        <v>0</v>
      </c>
      <c r="AH147" t="str">
        <f t="shared" si="25"/>
        <v/>
      </c>
      <c r="AI147" t="str">
        <f t="shared" si="26"/>
        <v/>
      </c>
    </row>
    <row r="148" spans="1:35" x14ac:dyDescent="0.25">
      <c r="A148" s="23"/>
      <c r="B148" s="23"/>
      <c r="C148" s="23"/>
      <c r="D148" s="23"/>
      <c r="E148" s="23"/>
      <c r="F148" s="23"/>
      <c r="G148" s="23"/>
      <c r="H148" s="24"/>
      <c r="I148" s="24"/>
      <c r="J148" s="23"/>
      <c r="K148" s="25"/>
      <c r="L148" s="25"/>
      <c r="M148" s="26" t="str">
        <f t="shared" si="18"/>
        <v/>
      </c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3"/>
      <c r="AB148" t="str">
        <f t="shared" si="19"/>
        <v/>
      </c>
      <c r="AC148">
        <f t="shared" si="20"/>
        <v>0</v>
      </c>
      <c r="AD148">
        <f t="shared" si="21"/>
        <v>0</v>
      </c>
      <c r="AE148" t="str">
        <f t="shared" si="22"/>
        <v/>
      </c>
      <c r="AF148" t="str">
        <f t="shared" si="23"/>
        <v/>
      </c>
      <c r="AG148">
        <f t="shared" si="24"/>
        <v>0</v>
      </c>
      <c r="AH148" t="str">
        <f t="shared" si="25"/>
        <v/>
      </c>
      <c r="AI148" t="str">
        <f t="shared" si="26"/>
        <v/>
      </c>
    </row>
    <row r="149" spans="1:35" x14ac:dyDescent="0.25">
      <c r="A149" s="23"/>
      <c r="B149" s="23"/>
      <c r="C149" s="23"/>
      <c r="D149" s="23"/>
      <c r="E149" s="23"/>
      <c r="F149" s="23"/>
      <c r="G149" s="23"/>
      <c r="H149" s="24"/>
      <c r="I149" s="24"/>
      <c r="J149" s="23"/>
      <c r="K149" s="25"/>
      <c r="L149" s="25"/>
      <c r="M149" s="26" t="str">
        <f t="shared" si="18"/>
        <v/>
      </c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3"/>
      <c r="AB149" t="str">
        <f t="shared" si="19"/>
        <v/>
      </c>
      <c r="AC149">
        <f t="shared" si="20"/>
        <v>0</v>
      </c>
      <c r="AD149">
        <f t="shared" si="21"/>
        <v>0</v>
      </c>
      <c r="AE149" t="str">
        <f t="shared" si="22"/>
        <v/>
      </c>
      <c r="AF149" t="str">
        <f t="shared" si="23"/>
        <v/>
      </c>
      <c r="AG149">
        <f t="shared" si="24"/>
        <v>0</v>
      </c>
      <c r="AH149" t="str">
        <f t="shared" si="25"/>
        <v/>
      </c>
      <c r="AI149" t="str">
        <f t="shared" si="26"/>
        <v/>
      </c>
    </row>
    <row r="150" spans="1:35" x14ac:dyDescent="0.25">
      <c r="A150" s="23"/>
      <c r="B150" s="23"/>
      <c r="C150" s="23"/>
      <c r="D150" s="23"/>
      <c r="E150" s="23"/>
      <c r="F150" s="23"/>
      <c r="G150" s="23"/>
      <c r="H150" s="24"/>
      <c r="I150" s="24"/>
      <c r="J150" s="23"/>
      <c r="K150" s="25"/>
      <c r="L150" s="25"/>
      <c r="M150" s="26" t="str">
        <f t="shared" si="18"/>
        <v/>
      </c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3"/>
      <c r="AB150" t="str">
        <f t="shared" si="19"/>
        <v/>
      </c>
      <c r="AC150">
        <f t="shared" si="20"/>
        <v>0</v>
      </c>
      <c r="AD150">
        <f t="shared" si="21"/>
        <v>0</v>
      </c>
      <c r="AE150" t="str">
        <f t="shared" si="22"/>
        <v/>
      </c>
      <c r="AF150" t="str">
        <f t="shared" si="23"/>
        <v/>
      </c>
      <c r="AG150">
        <f t="shared" si="24"/>
        <v>0</v>
      </c>
      <c r="AH150" t="str">
        <f t="shared" si="25"/>
        <v/>
      </c>
      <c r="AI150" t="str">
        <f t="shared" si="26"/>
        <v/>
      </c>
    </row>
    <row r="151" spans="1:35" x14ac:dyDescent="0.25">
      <c r="A151" s="23"/>
      <c r="B151" s="23"/>
      <c r="C151" s="23"/>
      <c r="D151" s="23"/>
      <c r="E151" s="23"/>
      <c r="F151" s="23"/>
      <c r="G151" s="23"/>
      <c r="H151" s="24"/>
      <c r="I151" s="24"/>
      <c r="J151" s="23"/>
      <c r="K151" s="25"/>
      <c r="L151" s="25"/>
      <c r="M151" s="26" t="str">
        <f t="shared" si="18"/>
        <v/>
      </c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3"/>
      <c r="AB151" t="str">
        <f t="shared" si="19"/>
        <v/>
      </c>
      <c r="AC151">
        <f t="shared" si="20"/>
        <v>0</v>
      </c>
      <c r="AD151">
        <f t="shared" si="21"/>
        <v>0</v>
      </c>
      <c r="AE151" t="str">
        <f t="shared" si="22"/>
        <v/>
      </c>
      <c r="AF151" t="str">
        <f t="shared" si="23"/>
        <v/>
      </c>
      <c r="AG151">
        <f t="shared" si="24"/>
        <v>0</v>
      </c>
      <c r="AH151" t="str">
        <f t="shared" si="25"/>
        <v/>
      </c>
      <c r="AI151" t="str">
        <f t="shared" si="26"/>
        <v/>
      </c>
    </row>
    <row r="152" spans="1:35" x14ac:dyDescent="0.25">
      <c r="A152" s="23"/>
      <c r="B152" s="23"/>
      <c r="C152" s="23"/>
      <c r="D152" s="23"/>
      <c r="E152" s="23"/>
      <c r="F152" s="23"/>
      <c r="G152" s="23"/>
      <c r="H152" s="24"/>
      <c r="I152" s="24"/>
      <c r="J152" s="23"/>
      <c r="K152" s="25"/>
      <c r="L152" s="25"/>
      <c r="M152" s="26" t="str">
        <f t="shared" si="18"/>
        <v/>
      </c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3"/>
      <c r="AB152" t="str">
        <f t="shared" si="19"/>
        <v/>
      </c>
      <c r="AC152">
        <f t="shared" si="20"/>
        <v>0</v>
      </c>
      <c r="AD152">
        <f t="shared" si="21"/>
        <v>0</v>
      </c>
      <c r="AE152" t="str">
        <f t="shared" si="22"/>
        <v/>
      </c>
      <c r="AF152" t="str">
        <f t="shared" si="23"/>
        <v/>
      </c>
      <c r="AG152">
        <f t="shared" si="24"/>
        <v>0</v>
      </c>
      <c r="AH152" t="str">
        <f t="shared" si="25"/>
        <v/>
      </c>
      <c r="AI152" t="str">
        <f t="shared" si="26"/>
        <v/>
      </c>
    </row>
    <row r="153" spans="1:35" x14ac:dyDescent="0.25">
      <c r="A153" s="23"/>
      <c r="B153" s="23"/>
      <c r="C153" s="23"/>
      <c r="D153" s="23"/>
      <c r="E153" s="23"/>
      <c r="F153" s="23"/>
      <c r="G153" s="23"/>
      <c r="H153" s="24"/>
      <c r="I153" s="24"/>
      <c r="J153" s="23"/>
      <c r="K153" s="25"/>
      <c r="L153" s="25"/>
      <c r="M153" s="26" t="str">
        <f t="shared" si="18"/>
        <v/>
      </c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3"/>
      <c r="AB153" t="str">
        <f t="shared" si="19"/>
        <v/>
      </c>
      <c r="AC153">
        <f t="shared" si="20"/>
        <v>0</v>
      </c>
      <c r="AD153">
        <f t="shared" si="21"/>
        <v>0</v>
      </c>
      <c r="AE153" t="str">
        <f t="shared" si="22"/>
        <v/>
      </c>
      <c r="AF153" t="str">
        <f t="shared" si="23"/>
        <v/>
      </c>
      <c r="AG153">
        <f t="shared" si="24"/>
        <v>0</v>
      </c>
      <c r="AH153" t="str">
        <f t="shared" si="25"/>
        <v/>
      </c>
      <c r="AI153" t="str">
        <f t="shared" si="26"/>
        <v/>
      </c>
    </row>
    <row r="154" spans="1:35" x14ac:dyDescent="0.25">
      <c r="A154" s="23"/>
      <c r="B154" s="23"/>
      <c r="C154" s="23"/>
      <c r="D154" s="23"/>
      <c r="E154" s="23"/>
      <c r="F154" s="23"/>
      <c r="G154" s="23"/>
      <c r="H154" s="24"/>
      <c r="I154" s="24"/>
      <c r="J154" s="23"/>
      <c r="K154" s="25"/>
      <c r="L154" s="25"/>
      <c r="M154" s="26" t="str">
        <f t="shared" si="18"/>
        <v/>
      </c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3"/>
      <c r="AB154" t="str">
        <f t="shared" si="19"/>
        <v/>
      </c>
      <c r="AC154">
        <f t="shared" si="20"/>
        <v>0</v>
      </c>
      <c r="AD154">
        <f t="shared" si="21"/>
        <v>0</v>
      </c>
      <c r="AE154" t="str">
        <f t="shared" si="22"/>
        <v/>
      </c>
      <c r="AF154" t="str">
        <f t="shared" si="23"/>
        <v/>
      </c>
      <c r="AG154">
        <f t="shared" si="24"/>
        <v>0</v>
      </c>
      <c r="AH154" t="str">
        <f t="shared" si="25"/>
        <v/>
      </c>
      <c r="AI154" t="str">
        <f t="shared" si="26"/>
        <v/>
      </c>
    </row>
    <row r="155" spans="1:35" x14ac:dyDescent="0.25">
      <c r="A155" s="23"/>
      <c r="B155" s="23"/>
      <c r="C155" s="23"/>
      <c r="D155" s="23"/>
      <c r="E155" s="23"/>
      <c r="F155" s="23"/>
      <c r="G155" s="23"/>
      <c r="H155" s="24"/>
      <c r="I155" s="24"/>
      <c r="J155" s="23"/>
      <c r="K155" s="25"/>
      <c r="L155" s="25"/>
      <c r="M155" s="26" t="str">
        <f t="shared" si="18"/>
        <v/>
      </c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3"/>
      <c r="AB155" t="str">
        <f t="shared" si="19"/>
        <v/>
      </c>
      <c r="AC155">
        <f t="shared" si="20"/>
        <v>0</v>
      </c>
      <c r="AD155">
        <f t="shared" si="21"/>
        <v>0</v>
      </c>
      <c r="AE155" t="str">
        <f t="shared" si="22"/>
        <v/>
      </c>
      <c r="AF155" t="str">
        <f t="shared" si="23"/>
        <v/>
      </c>
      <c r="AG155">
        <f t="shared" si="24"/>
        <v>0</v>
      </c>
      <c r="AH155" t="str">
        <f t="shared" si="25"/>
        <v/>
      </c>
      <c r="AI155" t="str">
        <f t="shared" si="26"/>
        <v/>
      </c>
    </row>
    <row r="156" spans="1:35" x14ac:dyDescent="0.25">
      <c r="A156" s="23"/>
      <c r="B156" s="23"/>
      <c r="C156" s="23"/>
      <c r="D156" s="23"/>
      <c r="E156" s="23"/>
      <c r="F156" s="23"/>
      <c r="G156" s="23"/>
      <c r="H156" s="24"/>
      <c r="I156" s="24"/>
      <c r="J156" s="23"/>
      <c r="K156" s="25"/>
      <c r="L156" s="25"/>
      <c r="M156" s="26" t="str">
        <f t="shared" si="18"/>
        <v/>
      </c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3"/>
      <c r="AB156" t="str">
        <f t="shared" si="19"/>
        <v/>
      </c>
      <c r="AC156">
        <f t="shared" si="20"/>
        <v>0</v>
      </c>
      <c r="AD156">
        <f t="shared" si="21"/>
        <v>0</v>
      </c>
      <c r="AE156" t="str">
        <f t="shared" si="22"/>
        <v/>
      </c>
      <c r="AF156" t="str">
        <f t="shared" si="23"/>
        <v/>
      </c>
      <c r="AG156">
        <f t="shared" si="24"/>
        <v>0</v>
      </c>
      <c r="AH156" t="str">
        <f t="shared" si="25"/>
        <v/>
      </c>
      <c r="AI156" t="str">
        <f t="shared" si="26"/>
        <v/>
      </c>
    </row>
    <row r="157" spans="1:35" x14ac:dyDescent="0.25">
      <c r="A157" s="23"/>
      <c r="B157" s="23"/>
      <c r="C157" s="23"/>
      <c r="D157" s="23"/>
      <c r="E157" s="23"/>
      <c r="F157" s="23"/>
      <c r="G157" s="23"/>
      <c r="H157" s="24"/>
      <c r="I157" s="24"/>
      <c r="J157" s="23"/>
      <c r="K157" s="25"/>
      <c r="L157" s="25"/>
      <c r="M157" s="26" t="str">
        <f t="shared" si="18"/>
        <v/>
      </c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3"/>
      <c r="AB157" t="str">
        <f t="shared" si="19"/>
        <v/>
      </c>
      <c r="AC157">
        <f t="shared" si="20"/>
        <v>0</v>
      </c>
      <c r="AD157">
        <f t="shared" si="21"/>
        <v>0</v>
      </c>
      <c r="AE157" t="str">
        <f t="shared" si="22"/>
        <v/>
      </c>
      <c r="AF157" t="str">
        <f t="shared" si="23"/>
        <v/>
      </c>
      <c r="AG157">
        <f t="shared" si="24"/>
        <v>0</v>
      </c>
      <c r="AH157" t="str">
        <f t="shared" si="25"/>
        <v/>
      </c>
      <c r="AI157" t="str">
        <f t="shared" si="26"/>
        <v/>
      </c>
    </row>
    <row r="158" spans="1:35" x14ac:dyDescent="0.25">
      <c r="A158" s="23"/>
      <c r="B158" s="23"/>
      <c r="C158" s="23"/>
      <c r="D158" s="23"/>
      <c r="E158" s="23"/>
      <c r="F158" s="23"/>
      <c r="G158" s="23"/>
      <c r="H158" s="24"/>
      <c r="I158" s="24"/>
      <c r="J158" s="23"/>
      <c r="K158" s="25"/>
      <c r="L158" s="25"/>
      <c r="M158" s="26" t="str">
        <f t="shared" si="18"/>
        <v/>
      </c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3"/>
      <c r="AB158" t="str">
        <f t="shared" si="19"/>
        <v/>
      </c>
      <c r="AC158">
        <f t="shared" si="20"/>
        <v>0</v>
      </c>
      <c r="AD158">
        <f t="shared" si="21"/>
        <v>0</v>
      </c>
      <c r="AE158" t="str">
        <f t="shared" si="22"/>
        <v/>
      </c>
      <c r="AF158" t="str">
        <f t="shared" si="23"/>
        <v/>
      </c>
      <c r="AG158">
        <f t="shared" si="24"/>
        <v>0</v>
      </c>
      <c r="AH158" t="str">
        <f t="shared" si="25"/>
        <v/>
      </c>
      <c r="AI158" t="str">
        <f t="shared" si="26"/>
        <v/>
      </c>
    </row>
    <row r="159" spans="1:35" x14ac:dyDescent="0.25">
      <c r="A159" s="23"/>
      <c r="B159" s="23"/>
      <c r="C159" s="23"/>
      <c r="D159" s="23"/>
      <c r="E159" s="23"/>
      <c r="F159" s="23"/>
      <c r="G159" s="23"/>
      <c r="H159" s="24"/>
      <c r="I159" s="24"/>
      <c r="J159" s="23"/>
      <c r="K159" s="25"/>
      <c r="L159" s="25"/>
      <c r="M159" s="26" t="str">
        <f t="shared" si="18"/>
        <v/>
      </c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3"/>
      <c r="AB159" t="str">
        <f t="shared" si="19"/>
        <v/>
      </c>
      <c r="AC159">
        <f t="shared" si="20"/>
        <v>0</v>
      </c>
      <c r="AD159">
        <f t="shared" si="21"/>
        <v>0</v>
      </c>
      <c r="AE159" t="str">
        <f t="shared" si="22"/>
        <v/>
      </c>
      <c r="AF159" t="str">
        <f t="shared" si="23"/>
        <v/>
      </c>
      <c r="AG159">
        <f t="shared" si="24"/>
        <v>0</v>
      </c>
      <c r="AH159" t="str">
        <f t="shared" si="25"/>
        <v/>
      </c>
      <c r="AI159" t="str">
        <f t="shared" si="26"/>
        <v/>
      </c>
    </row>
    <row r="160" spans="1:35" x14ac:dyDescent="0.25">
      <c r="A160" s="23"/>
      <c r="B160" s="23"/>
      <c r="C160" s="23"/>
      <c r="D160" s="23"/>
      <c r="E160" s="23"/>
      <c r="F160" s="23"/>
      <c r="G160" s="23"/>
      <c r="H160" s="24"/>
      <c r="I160" s="24"/>
      <c r="J160" s="23"/>
      <c r="K160" s="25"/>
      <c r="L160" s="25"/>
      <c r="M160" s="26" t="str">
        <f t="shared" si="18"/>
        <v/>
      </c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3"/>
      <c r="AB160" t="str">
        <f t="shared" si="19"/>
        <v/>
      </c>
      <c r="AC160">
        <f t="shared" si="20"/>
        <v>0</v>
      </c>
      <c r="AD160">
        <f t="shared" si="21"/>
        <v>0</v>
      </c>
      <c r="AE160" t="str">
        <f t="shared" si="22"/>
        <v/>
      </c>
      <c r="AF160" t="str">
        <f t="shared" si="23"/>
        <v/>
      </c>
      <c r="AG160">
        <f t="shared" si="24"/>
        <v>0</v>
      </c>
      <c r="AH160" t="str">
        <f t="shared" si="25"/>
        <v/>
      </c>
      <c r="AI160" t="str">
        <f t="shared" si="26"/>
        <v/>
      </c>
    </row>
    <row r="161" spans="1:35" x14ac:dyDescent="0.25">
      <c r="A161" s="23"/>
      <c r="B161" s="23"/>
      <c r="C161" s="23"/>
      <c r="D161" s="23"/>
      <c r="E161" s="23"/>
      <c r="F161" s="23"/>
      <c r="G161" s="23"/>
      <c r="H161" s="24"/>
      <c r="I161" s="24"/>
      <c r="J161" s="23"/>
      <c r="K161" s="25"/>
      <c r="L161" s="25"/>
      <c r="M161" s="26" t="str">
        <f t="shared" si="18"/>
        <v/>
      </c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3"/>
      <c r="AB161" t="str">
        <f t="shared" si="19"/>
        <v/>
      </c>
      <c r="AC161">
        <f t="shared" si="20"/>
        <v>0</v>
      </c>
      <c r="AD161">
        <f t="shared" si="21"/>
        <v>0</v>
      </c>
      <c r="AE161" t="str">
        <f t="shared" si="22"/>
        <v/>
      </c>
      <c r="AF161" t="str">
        <f t="shared" si="23"/>
        <v/>
      </c>
      <c r="AG161">
        <f t="shared" si="24"/>
        <v>0</v>
      </c>
      <c r="AH161" t="str">
        <f t="shared" si="25"/>
        <v/>
      </c>
      <c r="AI161" t="str">
        <f t="shared" si="26"/>
        <v/>
      </c>
    </row>
    <row r="162" spans="1:35" x14ac:dyDescent="0.25">
      <c r="A162" s="23"/>
      <c r="B162" s="23"/>
      <c r="C162" s="23"/>
      <c r="D162" s="23"/>
      <c r="E162" s="23"/>
      <c r="F162" s="23"/>
      <c r="G162" s="23"/>
      <c r="H162" s="24"/>
      <c r="I162" s="24"/>
      <c r="J162" s="23"/>
      <c r="K162" s="25"/>
      <c r="L162" s="25"/>
      <c r="M162" s="26" t="str">
        <f t="shared" si="18"/>
        <v/>
      </c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3"/>
      <c r="AB162" t="str">
        <f t="shared" si="19"/>
        <v/>
      </c>
      <c r="AC162">
        <f t="shared" si="20"/>
        <v>0</v>
      </c>
      <c r="AD162">
        <f t="shared" si="21"/>
        <v>0</v>
      </c>
      <c r="AE162" t="str">
        <f t="shared" si="22"/>
        <v/>
      </c>
      <c r="AF162" t="str">
        <f t="shared" si="23"/>
        <v/>
      </c>
      <c r="AG162">
        <f t="shared" si="24"/>
        <v>0</v>
      </c>
      <c r="AH162" t="str">
        <f t="shared" si="25"/>
        <v/>
      </c>
      <c r="AI162" t="str">
        <f t="shared" si="26"/>
        <v/>
      </c>
    </row>
    <row r="163" spans="1:35" x14ac:dyDescent="0.25">
      <c r="A163" s="23"/>
      <c r="B163" s="23"/>
      <c r="C163" s="23"/>
      <c r="D163" s="23"/>
      <c r="E163" s="23"/>
      <c r="F163" s="23"/>
      <c r="G163" s="23"/>
      <c r="H163" s="24"/>
      <c r="I163" s="24"/>
      <c r="J163" s="23"/>
      <c r="K163" s="25"/>
      <c r="L163" s="25"/>
      <c r="M163" s="26" t="str">
        <f t="shared" si="18"/>
        <v/>
      </c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3"/>
      <c r="AB163" t="str">
        <f t="shared" si="19"/>
        <v/>
      </c>
      <c r="AC163">
        <f t="shared" si="20"/>
        <v>0</v>
      </c>
      <c r="AD163">
        <f t="shared" si="21"/>
        <v>0</v>
      </c>
      <c r="AE163" t="str">
        <f t="shared" si="22"/>
        <v/>
      </c>
      <c r="AF163" t="str">
        <f t="shared" si="23"/>
        <v/>
      </c>
      <c r="AG163">
        <f t="shared" si="24"/>
        <v>0</v>
      </c>
      <c r="AH163" t="str">
        <f t="shared" si="25"/>
        <v/>
      </c>
      <c r="AI163" t="str">
        <f t="shared" si="26"/>
        <v/>
      </c>
    </row>
    <row r="164" spans="1:35" x14ac:dyDescent="0.25">
      <c r="A164" s="23"/>
      <c r="B164" s="23"/>
      <c r="C164" s="23"/>
      <c r="D164" s="23"/>
      <c r="E164" s="23"/>
      <c r="F164" s="23"/>
      <c r="G164" s="23"/>
      <c r="H164" s="24"/>
      <c r="I164" s="24"/>
      <c r="J164" s="23"/>
      <c r="K164" s="25"/>
      <c r="L164" s="25"/>
      <c r="M164" s="26" t="str">
        <f t="shared" si="18"/>
        <v/>
      </c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3"/>
      <c r="AB164" t="str">
        <f t="shared" si="19"/>
        <v/>
      </c>
      <c r="AC164">
        <f t="shared" si="20"/>
        <v>0</v>
      </c>
      <c r="AD164">
        <f t="shared" si="21"/>
        <v>0</v>
      </c>
      <c r="AE164" t="str">
        <f t="shared" si="22"/>
        <v/>
      </c>
      <c r="AF164" t="str">
        <f t="shared" si="23"/>
        <v/>
      </c>
      <c r="AG164">
        <f t="shared" si="24"/>
        <v>0</v>
      </c>
      <c r="AH164" t="str">
        <f t="shared" si="25"/>
        <v/>
      </c>
      <c r="AI164" t="str">
        <f t="shared" si="26"/>
        <v/>
      </c>
    </row>
    <row r="165" spans="1:35" x14ac:dyDescent="0.25">
      <c r="A165" s="23"/>
      <c r="B165" s="23"/>
      <c r="C165" s="23"/>
      <c r="D165" s="23"/>
      <c r="E165" s="23"/>
      <c r="F165" s="23"/>
      <c r="G165" s="23"/>
      <c r="H165" s="24"/>
      <c r="I165" s="24"/>
      <c r="J165" s="23"/>
      <c r="K165" s="25"/>
      <c r="L165" s="25"/>
      <c r="M165" s="26" t="str">
        <f t="shared" si="18"/>
        <v/>
      </c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3"/>
      <c r="AB165" t="str">
        <f t="shared" si="19"/>
        <v/>
      </c>
      <c r="AC165">
        <f t="shared" si="20"/>
        <v>0</v>
      </c>
      <c r="AD165">
        <f t="shared" si="21"/>
        <v>0</v>
      </c>
      <c r="AE165" t="str">
        <f t="shared" si="22"/>
        <v/>
      </c>
      <c r="AF165" t="str">
        <f t="shared" si="23"/>
        <v/>
      </c>
      <c r="AG165">
        <f t="shared" si="24"/>
        <v>0</v>
      </c>
      <c r="AH165" t="str">
        <f t="shared" si="25"/>
        <v/>
      </c>
      <c r="AI165" t="str">
        <f t="shared" si="26"/>
        <v/>
      </c>
    </row>
    <row r="166" spans="1:35" x14ac:dyDescent="0.25">
      <c r="A166" s="23"/>
      <c r="B166" s="23"/>
      <c r="C166" s="23"/>
      <c r="D166" s="23"/>
      <c r="E166" s="23"/>
      <c r="F166" s="23"/>
      <c r="G166" s="23"/>
      <c r="H166" s="24"/>
      <c r="I166" s="24"/>
      <c r="J166" s="23"/>
      <c r="K166" s="25"/>
      <c r="L166" s="25"/>
      <c r="M166" s="26" t="str">
        <f t="shared" si="18"/>
        <v/>
      </c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3"/>
      <c r="AB166" t="str">
        <f t="shared" si="19"/>
        <v/>
      </c>
      <c r="AC166">
        <f t="shared" si="20"/>
        <v>0</v>
      </c>
      <c r="AD166">
        <f t="shared" si="21"/>
        <v>0</v>
      </c>
      <c r="AE166" t="str">
        <f t="shared" si="22"/>
        <v/>
      </c>
      <c r="AF166" t="str">
        <f t="shared" si="23"/>
        <v/>
      </c>
      <c r="AG166">
        <f t="shared" si="24"/>
        <v>0</v>
      </c>
      <c r="AH166" t="str">
        <f t="shared" si="25"/>
        <v/>
      </c>
      <c r="AI166" t="str">
        <f t="shared" si="26"/>
        <v/>
      </c>
    </row>
    <row r="167" spans="1:35" x14ac:dyDescent="0.25">
      <c r="A167" s="23"/>
      <c r="B167" s="23"/>
      <c r="C167" s="23"/>
      <c r="D167" s="23"/>
      <c r="E167" s="23"/>
      <c r="F167" s="23"/>
      <c r="G167" s="23"/>
      <c r="H167" s="24"/>
      <c r="I167" s="24"/>
      <c r="J167" s="23"/>
      <c r="K167" s="25"/>
      <c r="L167" s="25"/>
      <c r="M167" s="26" t="str">
        <f t="shared" si="18"/>
        <v/>
      </c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3"/>
      <c r="AB167" t="str">
        <f t="shared" si="19"/>
        <v/>
      </c>
      <c r="AC167">
        <f t="shared" si="20"/>
        <v>0</v>
      </c>
      <c r="AD167">
        <f t="shared" si="21"/>
        <v>0</v>
      </c>
      <c r="AE167" t="str">
        <f t="shared" si="22"/>
        <v/>
      </c>
      <c r="AF167" t="str">
        <f t="shared" si="23"/>
        <v/>
      </c>
      <c r="AG167">
        <f t="shared" si="24"/>
        <v>0</v>
      </c>
      <c r="AH167" t="str">
        <f t="shared" si="25"/>
        <v/>
      </c>
      <c r="AI167" t="str">
        <f t="shared" si="26"/>
        <v/>
      </c>
    </row>
    <row r="168" spans="1:35" x14ac:dyDescent="0.25">
      <c r="A168" s="23"/>
      <c r="B168" s="23"/>
      <c r="C168" s="23"/>
      <c r="D168" s="23"/>
      <c r="E168" s="23"/>
      <c r="F168" s="23"/>
      <c r="G168" s="23"/>
      <c r="H168" s="24"/>
      <c r="I168" s="24"/>
      <c r="J168" s="23"/>
      <c r="K168" s="25"/>
      <c r="L168" s="25"/>
      <c r="M168" s="26" t="str">
        <f t="shared" si="18"/>
        <v/>
      </c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3"/>
      <c r="AB168" t="str">
        <f t="shared" si="19"/>
        <v/>
      </c>
      <c r="AC168">
        <f t="shared" si="20"/>
        <v>0</v>
      </c>
      <c r="AD168">
        <f t="shared" si="21"/>
        <v>0</v>
      </c>
      <c r="AE168" t="str">
        <f t="shared" si="22"/>
        <v/>
      </c>
      <c r="AF168" t="str">
        <f t="shared" si="23"/>
        <v/>
      </c>
      <c r="AG168">
        <f t="shared" si="24"/>
        <v>0</v>
      </c>
      <c r="AH168" t="str">
        <f t="shared" si="25"/>
        <v/>
      </c>
      <c r="AI168" t="str">
        <f t="shared" si="26"/>
        <v/>
      </c>
    </row>
    <row r="169" spans="1:35" x14ac:dyDescent="0.25">
      <c r="A169" s="23"/>
      <c r="B169" s="23"/>
      <c r="C169" s="23"/>
      <c r="D169" s="23"/>
      <c r="E169" s="23"/>
      <c r="F169" s="23"/>
      <c r="G169" s="23"/>
      <c r="H169" s="24"/>
      <c r="I169" s="24"/>
      <c r="J169" s="23"/>
      <c r="K169" s="25"/>
      <c r="L169" s="25"/>
      <c r="M169" s="26" t="str">
        <f t="shared" si="18"/>
        <v/>
      </c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3"/>
      <c r="AB169" t="str">
        <f t="shared" si="19"/>
        <v/>
      </c>
      <c r="AC169">
        <f t="shared" si="20"/>
        <v>0</v>
      </c>
      <c r="AD169">
        <f t="shared" si="21"/>
        <v>0</v>
      </c>
      <c r="AE169" t="str">
        <f t="shared" si="22"/>
        <v/>
      </c>
      <c r="AF169" t="str">
        <f t="shared" si="23"/>
        <v/>
      </c>
      <c r="AG169">
        <f t="shared" si="24"/>
        <v>0</v>
      </c>
      <c r="AH169" t="str">
        <f t="shared" si="25"/>
        <v/>
      </c>
      <c r="AI169" t="str">
        <f t="shared" si="26"/>
        <v/>
      </c>
    </row>
    <row r="170" spans="1:35" x14ac:dyDescent="0.25">
      <c r="A170" s="23"/>
      <c r="B170" s="23"/>
      <c r="C170" s="23"/>
      <c r="D170" s="23"/>
      <c r="E170" s="23"/>
      <c r="F170" s="23"/>
      <c r="G170" s="23"/>
      <c r="H170" s="24"/>
      <c r="I170" s="24"/>
      <c r="J170" s="23"/>
      <c r="K170" s="25"/>
      <c r="L170" s="25"/>
      <c r="M170" s="26" t="str">
        <f t="shared" si="18"/>
        <v/>
      </c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3"/>
      <c r="AB170" t="str">
        <f t="shared" si="19"/>
        <v/>
      </c>
      <c r="AC170">
        <f t="shared" si="20"/>
        <v>0</v>
      </c>
      <c r="AD170">
        <f t="shared" si="21"/>
        <v>0</v>
      </c>
      <c r="AE170" t="str">
        <f t="shared" si="22"/>
        <v/>
      </c>
      <c r="AF170" t="str">
        <f t="shared" si="23"/>
        <v/>
      </c>
      <c r="AG170">
        <f t="shared" si="24"/>
        <v>0</v>
      </c>
      <c r="AH170" t="str">
        <f t="shared" si="25"/>
        <v/>
      </c>
      <c r="AI170" t="str">
        <f t="shared" si="26"/>
        <v/>
      </c>
    </row>
    <row r="171" spans="1:35" x14ac:dyDescent="0.25">
      <c r="A171" s="23"/>
      <c r="B171" s="23"/>
      <c r="C171" s="23"/>
      <c r="D171" s="23"/>
      <c r="E171" s="23"/>
      <c r="F171" s="23"/>
      <c r="G171" s="23"/>
      <c r="H171" s="24"/>
      <c r="I171" s="24"/>
      <c r="J171" s="23"/>
      <c r="K171" s="25"/>
      <c r="L171" s="25"/>
      <c r="M171" s="26" t="str">
        <f t="shared" si="18"/>
        <v/>
      </c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3"/>
      <c r="AB171" t="str">
        <f t="shared" si="19"/>
        <v/>
      </c>
      <c r="AC171">
        <f t="shared" si="20"/>
        <v>0</v>
      </c>
      <c r="AD171">
        <f t="shared" si="21"/>
        <v>0</v>
      </c>
      <c r="AE171" t="str">
        <f t="shared" si="22"/>
        <v/>
      </c>
      <c r="AF171" t="str">
        <f t="shared" si="23"/>
        <v/>
      </c>
      <c r="AG171">
        <f t="shared" si="24"/>
        <v>0</v>
      </c>
      <c r="AH171" t="str">
        <f t="shared" si="25"/>
        <v/>
      </c>
      <c r="AI171" t="str">
        <f t="shared" si="26"/>
        <v/>
      </c>
    </row>
    <row r="172" spans="1:35" x14ac:dyDescent="0.25">
      <c r="A172" s="23"/>
      <c r="B172" s="23"/>
      <c r="C172" s="23"/>
      <c r="D172" s="23"/>
      <c r="E172" s="23"/>
      <c r="F172" s="23"/>
      <c r="G172" s="23"/>
      <c r="H172" s="24"/>
      <c r="I172" s="24"/>
      <c r="J172" s="23"/>
      <c r="K172" s="25"/>
      <c r="L172" s="25"/>
      <c r="M172" s="26" t="str">
        <f t="shared" si="18"/>
        <v/>
      </c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3"/>
      <c r="AB172" t="str">
        <f t="shared" si="19"/>
        <v/>
      </c>
      <c r="AC172">
        <f t="shared" si="20"/>
        <v>0</v>
      </c>
      <c r="AD172">
        <f t="shared" si="21"/>
        <v>0</v>
      </c>
      <c r="AE172" t="str">
        <f t="shared" si="22"/>
        <v/>
      </c>
      <c r="AF172" t="str">
        <f t="shared" si="23"/>
        <v/>
      </c>
      <c r="AG172">
        <f t="shared" si="24"/>
        <v>0</v>
      </c>
      <c r="AH172" t="str">
        <f t="shared" si="25"/>
        <v/>
      </c>
      <c r="AI172" t="str">
        <f t="shared" si="26"/>
        <v/>
      </c>
    </row>
    <row r="173" spans="1:35" x14ac:dyDescent="0.25">
      <c r="A173" s="23"/>
      <c r="B173" s="23"/>
      <c r="C173" s="23"/>
      <c r="D173" s="23"/>
      <c r="E173" s="23"/>
      <c r="F173" s="23"/>
      <c r="G173" s="23"/>
      <c r="H173" s="24"/>
      <c r="I173" s="24"/>
      <c r="J173" s="23"/>
      <c r="K173" s="25"/>
      <c r="L173" s="25"/>
      <c r="M173" s="26" t="str">
        <f t="shared" si="18"/>
        <v/>
      </c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3"/>
      <c r="AB173" t="str">
        <f t="shared" si="19"/>
        <v/>
      </c>
      <c r="AC173">
        <f t="shared" si="20"/>
        <v>0</v>
      </c>
      <c r="AD173">
        <f t="shared" si="21"/>
        <v>0</v>
      </c>
      <c r="AE173" t="str">
        <f t="shared" si="22"/>
        <v/>
      </c>
      <c r="AF173" t="str">
        <f t="shared" si="23"/>
        <v/>
      </c>
      <c r="AG173">
        <f t="shared" si="24"/>
        <v>0</v>
      </c>
      <c r="AH173" t="str">
        <f t="shared" si="25"/>
        <v/>
      </c>
      <c r="AI173" t="str">
        <f t="shared" si="26"/>
        <v/>
      </c>
    </row>
    <row r="174" spans="1:35" x14ac:dyDescent="0.25">
      <c r="A174" s="23"/>
      <c r="B174" s="23"/>
      <c r="C174" s="23"/>
      <c r="D174" s="23"/>
      <c r="E174" s="23"/>
      <c r="F174" s="23"/>
      <c r="G174" s="23"/>
      <c r="H174" s="24"/>
      <c r="I174" s="24"/>
      <c r="J174" s="23"/>
      <c r="K174" s="25"/>
      <c r="L174" s="25"/>
      <c r="M174" s="26" t="str">
        <f t="shared" si="18"/>
        <v/>
      </c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3"/>
      <c r="AB174" t="str">
        <f t="shared" si="19"/>
        <v/>
      </c>
      <c r="AC174">
        <f t="shared" si="20"/>
        <v>0</v>
      </c>
      <c r="AD174">
        <f t="shared" si="21"/>
        <v>0</v>
      </c>
      <c r="AE174" t="str">
        <f t="shared" si="22"/>
        <v/>
      </c>
      <c r="AF174" t="str">
        <f t="shared" si="23"/>
        <v/>
      </c>
      <c r="AG174">
        <f t="shared" si="24"/>
        <v>0</v>
      </c>
      <c r="AH174" t="str">
        <f t="shared" si="25"/>
        <v/>
      </c>
      <c r="AI174" t="str">
        <f t="shared" si="26"/>
        <v/>
      </c>
    </row>
    <row r="175" spans="1:35" x14ac:dyDescent="0.25">
      <c r="A175" s="23"/>
      <c r="B175" s="23"/>
      <c r="C175" s="23"/>
      <c r="D175" s="23"/>
      <c r="E175" s="23"/>
      <c r="F175" s="23"/>
      <c r="G175" s="23"/>
      <c r="H175" s="24"/>
      <c r="I175" s="24"/>
      <c r="J175" s="23"/>
      <c r="K175" s="25"/>
      <c r="L175" s="25"/>
      <c r="M175" s="26" t="str">
        <f t="shared" si="18"/>
        <v/>
      </c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3"/>
      <c r="AB175" t="str">
        <f t="shared" si="19"/>
        <v/>
      </c>
      <c r="AC175">
        <f t="shared" si="20"/>
        <v>0</v>
      </c>
      <c r="AD175">
        <f t="shared" si="21"/>
        <v>0</v>
      </c>
      <c r="AE175" t="str">
        <f t="shared" si="22"/>
        <v/>
      </c>
      <c r="AF175" t="str">
        <f t="shared" si="23"/>
        <v/>
      </c>
      <c r="AG175">
        <f t="shared" si="24"/>
        <v>0</v>
      </c>
      <c r="AH175" t="str">
        <f t="shared" si="25"/>
        <v/>
      </c>
      <c r="AI175" t="str">
        <f t="shared" si="26"/>
        <v/>
      </c>
    </row>
    <row r="176" spans="1:35" x14ac:dyDescent="0.25">
      <c r="A176" s="23"/>
      <c r="B176" s="23"/>
      <c r="C176" s="23"/>
      <c r="D176" s="23"/>
      <c r="E176" s="23"/>
      <c r="F176" s="23"/>
      <c r="G176" s="23"/>
      <c r="H176" s="24"/>
      <c r="I176" s="24"/>
      <c r="J176" s="23"/>
      <c r="K176" s="25"/>
      <c r="L176" s="25"/>
      <c r="M176" s="26" t="str">
        <f t="shared" si="18"/>
        <v/>
      </c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3"/>
      <c r="AB176" t="str">
        <f t="shared" si="19"/>
        <v/>
      </c>
      <c r="AC176">
        <f t="shared" si="20"/>
        <v>0</v>
      </c>
      <c r="AD176">
        <f t="shared" si="21"/>
        <v>0</v>
      </c>
      <c r="AE176" t="str">
        <f t="shared" si="22"/>
        <v/>
      </c>
      <c r="AF176" t="str">
        <f t="shared" si="23"/>
        <v/>
      </c>
      <c r="AG176">
        <f t="shared" si="24"/>
        <v>0</v>
      </c>
      <c r="AH176" t="str">
        <f t="shared" si="25"/>
        <v/>
      </c>
      <c r="AI176" t="str">
        <f t="shared" si="26"/>
        <v/>
      </c>
    </row>
    <row r="177" spans="1:35" x14ac:dyDescent="0.25">
      <c r="A177" s="23"/>
      <c r="B177" s="23"/>
      <c r="C177" s="23"/>
      <c r="D177" s="23"/>
      <c r="E177" s="23"/>
      <c r="F177" s="23"/>
      <c r="G177" s="23"/>
      <c r="H177" s="24"/>
      <c r="I177" s="24"/>
      <c r="J177" s="23"/>
      <c r="K177" s="25"/>
      <c r="L177" s="25"/>
      <c r="M177" s="26" t="str">
        <f t="shared" si="18"/>
        <v/>
      </c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3"/>
      <c r="AB177" t="str">
        <f t="shared" si="19"/>
        <v/>
      </c>
      <c r="AC177">
        <f t="shared" si="20"/>
        <v>0</v>
      </c>
      <c r="AD177">
        <f t="shared" si="21"/>
        <v>0</v>
      </c>
      <c r="AE177" t="str">
        <f t="shared" si="22"/>
        <v/>
      </c>
      <c r="AF177" t="str">
        <f t="shared" si="23"/>
        <v/>
      </c>
      <c r="AG177">
        <f t="shared" si="24"/>
        <v>0</v>
      </c>
      <c r="AH177" t="str">
        <f t="shared" si="25"/>
        <v/>
      </c>
      <c r="AI177" t="str">
        <f t="shared" si="26"/>
        <v/>
      </c>
    </row>
    <row r="178" spans="1:35" x14ac:dyDescent="0.25">
      <c r="A178" s="23"/>
      <c r="B178" s="23"/>
      <c r="C178" s="23"/>
      <c r="D178" s="23"/>
      <c r="E178" s="23"/>
      <c r="F178" s="23"/>
      <c r="G178" s="23"/>
      <c r="H178" s="24"/>
      <c r="I178" s="24"/>
      <c r="J178" s="23"/>
      <c r="K178" s="25"/>
      <c r="L178" s="25"/>
      <c r="M178" s="26" t="str">
        <f t="shared" si="18"/>
        <v/>
      </c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3"/>
      <c r="AB178" t="str">
        <f t="shared" si="19"/>
        <v/>
      </c>
      <c r="AC178">
        <f t="shared" si="20"/>
        <v>0</v>
      </c>
      <c r="AD178">
        <f t="shared" si="21"/>
        <v>0</v>
      </c>
      <c r="AE178" t="str">
        <f t="shared" si="22"/>
        <v/>
      </c>
      <c r="AF178" t="str">
        <f t="shared" si="23"/>
        <v/>
      </c>
      <c r="AG178">
        <f t="shared" si="24"/>
        <v>0</v>
      </c>
      <c r="AH178" t="str">
        <f t="shared" si="25"/>
        <v/>
      </c>
      <c r="AI178" t="str">
        <f t="shared" si="26"/>
        <v/>
      </c>
    </row>
    <row r="179" spans="1:35" x14ac:dyDescent="0.25">
      <c r="A179" s="23"/>
      <c r="B179" s="23"/>
      <c r="C179" s="23"/>
      <c r="D179" s="23"/>
      <c r="E179" s="23"/>
      <c r="F179" s="23"/>
      <c r="G179" s="23"/>
      <c r="H179" s="24"/>
      <c r="I179" s="24"/>
      <c r="J179" s="23"/>
      <c r="K179" s="25"/>
      <c r="L179" s="25"/>
      <c r="M179" s="26" t="str">
        <f t="shared" si="18"/>
        <v/>
      </c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3"/>
      <c r="AB179" t="str">
        <f t="shared" si="19"/>
        <v/>
      </c>
      <c r="AC179">
        <f t="shared" si="20"/>
        <v>0</v>
      </c>
      <c r="AD179">
        <f t="shared" si="21"/>
        <v>0</v>
      </c>
      <c r="AE179" t="str">
        <f t="shared" si="22"/>
        <v/>
      </c>
      <c r="AF179" t="str">
        <f t="shared" si="23"/>
        <v/>
      </c>
      <c r="AG179">
        <f t="shared" si="24"/>
        <v>0</v>
      </c>
      <c r="AH179" t="str">
        <f t="shared" si="25"/>
        <v/>
      </c>
      <c r="AI179" t="str">
        <f t="shared" si="26"/>
        <v/>
      </c>
    </row>
    <row r="180" spans="1:35" x14ac:dyDescent="0.25">
      <c r="A180" s="23"/>
      <c r="B180" s="23"/>
      <c r="C180" s="23"/>
      <c r="D180" s="23"/>
      <c r="E180" s="23"/>
      <c r="F180" s="23"/>
      <c r="G180" s="23"/>
      <c r="H180" s="24"/>
      <c r="I180" s="24"/>
      <c r="J180" s="23"/>
      <c r="K180" s="25"/>
      <c r="L180" s="25"/>
      <c r="M180" s="26" t="str">
        <f t="shared" si="18"/>
        <v/>
      </c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3"/>
      <c r="AB180" t="str">
        <f t="shared" si="19"/>
        <v/>
      </c>
      <c r="AC180">
        <f t="shared" si="20"/>
        <v>0</v>
      </c>
      <c r="AD180">
        <f t="shared" si="21"/>
        <v>0</v>
      </c>
      <c r="AE180" t="str">
        <f t="shared" si="22"/>
        <v/>
      </c>
      <c r="AF180" t="str">
        <f t="shared" si="23"/>
        <v/>
      </c>
      <c r="AG180">
        <f t="shared" si="24"/>
        <v>0</v>
      </c>
      <c r="AH180" t="str">
        <f t="shared" si="25"/>
        <v/>
      </c>
      <c r="AI180" t="str">
        <f t="shared" si="26"/>
        <v/>
      </c>
    </row>
    <row r="181" spans="1:35" x14ac:dyDescent="0.25">
      <c r="A181" s="23"/>
      <c r="B181" s="23"/>
      <c r="C181" s="23"/>
      <c r="D181" s="23"/>
      <c r="E181" s="23"/>
      <c r="F181" s="23"/>
      <c r="G181" s="23"/>
      <c r="H181" s="24"/>
      <c r="I181" s="24"/>
      <c r="J181" s="23"/>
      <c r="K181" s="25"/>
      <c r="L181" s="25"/>
      <c r="M181" s="26" t="str">
        <f t="shared" si="18"/>
        <v/>
      </c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3"/>
      <c r="AB181" t="str">
        <f t="shared" si="19"/>
        <v/>
      </c>
      <c r="AC181">
        <f t="shared" si="20"/>
        <v>0</v>
      </c>
      <c r="AD181">
        <f t="shared" si="21"/>
        <v>0</v>
      </c>
      <c r="AE181" t="str">
        <f t="shared" si="22"/>
        <v/>
      </c>
      <c r="AF181" t="str">
        <f t="shared" si="23"/>
        <v/>
      </c>
      <c r="AG181">
        <f t="shared" si="24"/>
        <v>0</v>
      </c>
      <c r="AH181" t="str">
        <f t="shared" si="25"/>
        <v/>
      </c>
      <c r="AI181" t="str">
        <f t="shared" si="26"/>
        <v/>
      </c>
    </row>
    <row r="182" spans="1:35" x14ac:dyDescent="0.25">
      <c r="A182" s="23"/>
      <c r="B182" s="23"/>
      <c r="C182" s="23"/>
      <c r="D182" s="23"/>
      <c r="E182" s="23"/>
      <c r="F182" s="23"/>
      <c r="G182" s="23"/>
      <c r="H182" s="24"/>
      <c r="I182" s="24"/>
      <c r="J182" s="23"/>
      <c r="K182" s="25"/>
      <c r="L182" s="25"/>
      <c r="M182" s="26" t="str">
        <f t="shared" si="18"/>
        <v/>
      </c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3"/>
      <c r="AB182" t="str">
        <f t="shared" si="19"/>
        <v/>
      </c>
      <c r="AC182">
        <f t="shared" si="20"/>
        <v>0</v>
      </c>
      <c r="AD182">
        <f t="shared" si="21"/>
        <v>0</v>
      </c>
      <c r="AE182" t="str">
        <f t="shared" si="22"/>
        <v/>
      </c>
      <c r="AF182" t="str">
        <f t="shared" si="23"/>
        <v/>
      </c>
      <c r="AG182">
        <f t="shared" si="24"/>
        <v>0</v>
      </c>
      <c r="AH182" t="str">
        <f t="shared" si="25"/>
        <v/>
      </c>
      <c r="AI182" t="str">
        <f t="shared" si="26"/>
        <v/>
      </c>
    </row>
    <row r="183" spans="1:35" x14ac:dyDescent="0.25">
      <c r="A183" s="23"/>
      <c r="B183" s="23"/>
      <c r="C183" s="23"/>
      <c r="D183" s="23"/>
      <c r="E183" s="23"/>
      <c r="F183" s="23"/>
      <c r="G183" s="23"/>
      <c r="H183" s="24"/>
      <c r="I183" s="24"/>
      <c r="J183" s="23"/>
      <c r="K183" s="25"/>
      <c r="L183" s="25"/>
      <c r="M183" s="26" t="str">
        <f t="shared" si="18"/>
        <v/>
      </c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3"/>
      <c r="AB183" t="str">
        <f t="shared" si="19"/>
        <v/>
      </c>
      <c r="AC183">
        <f t="shared" si="20"/>
        <v>0</v>
      </c>
      <c r="AD183">
        <f t="shared" si="21"/>
        <v>0</v>
      </c>
      <c r="AE183" t="str">
        <f t="shared" si="22"/>
        <v/>
      </c>
      <c r="AF183" t="str">
        <f t="shared" si="23"/>
        <v/>
      </c>
      <c r="AG183">
        <f t="shared" si="24"/>
        <v>0</v>
      </c>
      <c r="AH183" t="str">
        <f t="shared" si="25"/>
        <v/>
      </c>
      <c r="AI183" t="str">
        <f t="shared" si="26"/>
        <v/>
      </c>
    </row>
    <row r="184" spans="1:35" x14ac:dyDescent="0.25">
      <c r="A184" s="23"/>
      <c r="B184" s="23"/>
      <c r="C184" s="23"/>
      <c r="D184" s="23"/>
      <c r="E184" s="23"/>
      <c r="F184" s="23"/>
      <c r="G184" s="23"/>
      <c r="H184" s="24"/>
      <c r="I184" s="24"/>
      <c r="J184" s="23"/>
      <c r="K184" s="25"/>
      <c r="L184" s="25"/>
      <c r="M184" s="26" t="str">
        <f t="shared" si="18"/>
        <v/>
      </c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3"/>
      <c r="AB184" t="str">
        <f t="shared" si="19"/>
        <v/>
      </c>
      <c r="AC184">
        <f t="shared" si="20"/>
        <v>0</v>
      </c>
      <c r="AD184">
        <f t="shared" si="21"/>
        <v>0</v>
      </c>
      <c r="AE184" t="str">
        <f t="shared" si="22"/>
        <v/>
      </c>
      <c r="AF184" t="str">
        <f t="shared" si="23"/>
        <v/>
      </c>
      <c r="AG184">
        <f t="shared" si="24"/>
        <v>0</v>
      </c>
      <c r="AH184" t="str">
        <f t="shared" si="25"/>
        <v/>
      </c>
      <c r="AI184" t="str">
        <f t="shared" si="26"/>
        <v/>
      </c>
    </row>
    <row r="185" spans="1:35" x14ac:dyDescent="0.25">
      <c r="A185" s="23"/>
      <c r="B185" s="23"/>
      <c r="C185" s="23"/>
      <c r="D185" s="23"/>
      <c r="E185" s="23"/>
      <c r="F185" s="23"/>
      <c r="G185" s="23"/>
      <c r="H185" s="24"/>
      <c r="I185" s="24"/>
      <c r="J185" s="23"/>
      <c r="K185" s="25"/>
      <c r="L185" s="25"/>
      <c r="M185" s="26" t="str">
        <f t="shared" si="18"/>
        <v/>
      </c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3"/>
      <c r="AB185" t="str">
        <f t="shared" si="19"/>
        <v/>
      </c>
      <c r="AC185">
        <f t="shared" si="20"/>
        <v>0</v>
      </c>
      <c r="AD185">
        <f t="shared" si="21"/>
        <v>0</v>
      </c>
      <c r="AE185" t="str">
        <f t="shared" si="22"/>
        <v/>
      </c>
      <c r="AF185" t="str">
        <f t="shared" si="23"/>
        <v/>
      </c>
      <c r="AG185">
        <f t="shared" si="24"/>
        <v>0</v>
      </c>
      <c r="AH185" t="str">
        <f t="shared" si="25"/>
        <v/>
      </c>
      <c r="AI185" t="str">
        <f t="shared" si="26"/>
        <v/>
      </c>
    </row>
    <row r="186" spans="1:35" x14ac:dyDescent="0.25">
      <c r="A186" s="23"/>
      <c r="B186" s="23"/>
      <c r="C186" s="23"/>
      <c r="D186" s="23"/>
      <c r="E186" s="23"/>
      <c r="F186" s="23"/>
      <c r="G186" s="23"/>
      <c r="H186" s="24"/>
      <c r="I186" s="24"/>
      <c r="J186" s="23"/>
      <c r="K186" s="25"/>
      <c r="L186" s="25"/>
      <c r="M186" s="26" t="str">
        <f t="shared" si="18"/>
        <v/>
      </c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3"/>
      <c r="AB186" t="str">
        <f t="shared" si="19"/>
        <v/>
      </c>
      <c r="AC186">
        <f t="shared" si="20"/>
        <v>0</v>
      </c>
      <c r="AD186">
        <f t="shared" si="21"/>
        <v>0</v>
      </c>
      <c r="AE186" t="str">
        <f t="shared" si="22"/>
        <v/>
      </c>
      <c r="AF186" t="str">
        <f t="shared" si="23"/>
        <v/>
      </c>
      <c r="AG186">
        <f t="shared" si="24"/>
        <v>0</v>
      </c>
      <c r="AH186" t="str">
        <f t="shared" si="25"/>
        <v/>
      </c>
      <c r="AI186" t="str">
        <f t="shared" si="26"/>
        <v/>
      </c>
    </row>
    <row r="187" spans="1:35" x14ac:dyDescent="0.25">
      <c r="A187" s="23"/>
      <c r="B187" s="23"/>
      <c r="C187" s="23"/>
      <c r="D187" s="23"/>
      <c r="E187" s="23"/>
      <c r="F187" s="23"/>
      <c r="G187" s="23"/>
      <c r="H187" s="24"/>
      <c r="I187" s="24"/>
      <c r="J187" s="23"/>
      <c r="K187" s="25"/>
      <c r="L187" s="25"/>
      <c r="M187" s="26" t="str">
        <f t="shared" si="18"/>
        <v/>
      </c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3"/>
      <c r="AB187" t="str">
        <f t="shared" si="19"/>
        <v/>
      </c>
      <c r="AC187">
        <f t="shared" si="20"/>
        <v>0</v>
      </c>
      <c r="AD187">
        <f t="shared" si="21"/>
        <v>0</v>
      </c>
      <c r="AE187" t="str">
        <f t="shared" si="22"/>
        <v/>
      </c>
      <c r="AF187" t="str">
        <f t="shared" si="23"/>
        <v/>
      </c>
      <c r="AG187">
        <f t="shared" si="24"/>
        <v>0</v>
      </c>
      <c r="AH187" t="str">
        <f t="shared" si="25"/>
        <v/>
      </c>
      <c r="AI187" t="str">
        <f t="shared" si="26"/>
        <v/>
      </c>
    </row>
    <row r="188" spans="1:35" x14ac:dyDescent="0.25">
      <c r="A188" s="23"/>
      <c r="B188" s="23"/>
      <c r="C188" s="23"/>
      <c r="D188" s="23"/>
      <c r="E188" s="23"/>
      <c r="F188" s="23"/>
      <c r="G188" s="23"/>
      <c r="H188" s="24"/>
      <c r="I188" s="24"/>
      <c r="J188" s="23"/>
      <c r="K188" s="25"/>
      <c r="L188" s="25"/>
      <c r="M188" s="26" t="str">
        <f t="shared" si="18"/>
        <v/>
      </c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3"/>
      <c r="AB188" t="str">
        <f t="shared" si="19"/>
        <v/>
      </c>
      <c r="AC188">
        <f t="shared" si="20"/>
        <v>0</v>
      </c>
      <c r="AD188">
        <f t="shared" si="21"/>
        <v>0</v>
      </c>
      <c r="AE188" t="str">
        <f t="shared" si="22"/>
        <v/>
      </c>
      <c r="AF188" t="str">
        <f t="shared" si="23"/>
        <v/>
      </c>
      <c r="AG188">
        <f t="shared" si="24"/>
        <v>0</v>
      </c>
      <c r="AH188" t="str">
        <f t="shared" si="25"/>
        <v/>
      </c>
      <c r="AI188" t="str">
        <f t="shared" si="26"/>
        <v/>
      </c>
    </row>
    <row r="189" spans="1:35" x14ac:dyDescent="0.25">
      <c r="A189" s="23"/>
      <c r="B189" s="23"/>
      <c r="C189" s="23"/>
      <c r="D189" s="23"/>
      <c r="E189" s="23"/>
      <c r="F189" s="23"/>
      <c r="G189" s="23"/>
      <c r="H189" s="24"/>
      <c r="I189" s="24"/>
      <c r="J189" s="23"/>
      <c r="K189" s="25"/>
      <c r="L189" s="25"/>
      <c r="M189" s="26" t="str">
        <f t="shared" si="18"/>
        <v/>
      </c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3"/>
      <c r="AB189" t="str">
        <f t="shared" si="19"/>
        <v/>
      </c>
      <c r="AC189">
        <f t="shared" si="20"/>
        <v>0</v>
      </c>
      <c r="AD189">
        <f t="shared" si="21"/>
        <v>0</v>
      </c>
      <c r="AE189" t="str">
        <f t="shared" si="22"/>
        <v/>
      </c>
      <c r="AF189" t="str">
        <f t="shared" si="23"/>
        <v/>
      </c>
      <c r="AG189">
        <f t="shared" si="24"/>
        <v>0</v>
      </c>
      <c r="AH189" t="str">
        <f t="shared" si="25"/>
        <v/>
      </c>
      <c r="AI189" t="str">
        <f t="shared" si="26"/>
        <v/>
      </c>
    </row>
    <row r="190" spans="1:35" x14ac:dyDescent="0.25">
      <c r="A190" s="23"/>
      <c r="B190" s="23"/>
      <c r="C190" s="23"/>
      <c r="D190" s="23"/>
      <c r="E190" s="23"/>
      <c r="F190" s="23"/>
      <c r="G190" s="23"/>
      <c r="H190" s="24"/>
      <c r="I190" s="24"/>
      <c r="J190" s="23"/>
      <c r="K190" s="25"/>
      <c r="L190" s="25"/>
      <c r="M190" s="26" t="str">
        <f t="shared" si="18"/>
        <v/>
      </c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3"/>
      <c r="AB190" t="str">
        <f t="shared" si="19"/>
        <v/>
      </c>
      <c r="AC190">
        <f t="shared" si="20"/>
        <v>0</v>
      </c>
      <c r="AD190">
        <f t="shared" si="21"/>
        <v>0</v>
      </c>
      <c r="AE190" t="str">
        <f t="shared" si="22"/>
        <v/>
      </c>
      <c r="AF190" t="str">
        <f t="shared" si="23"/>
        <v/>
      </c>
      <c r="AG190">
        <f t="shared" si="24"/>
        <v>0</v>
      </c>
      <c r="AH190" t="str">
        <f t="shared" si="25"/>
        <v/>
      </c>
      <c r="AI190" t="str">
        <f t="shared" si="26"/>
        <v/>
      </c>
    </row>
    <row r="191" spans="1:35" x14ac:dyDescent="0.25">
      <c r="A191" s="23"/>
      <c r="B191" s="23"/>
      <c r="C191" s="23"/>
      <c r="D191" s="23"/>
      <c r="E191" s="23"/>
      <c r="F191" s="23"/>
      <c r="G191" s="23"/>
      <c r="H191" s="24"/>
      <c r="I191" s="24"/>
      <c r="J191" s="23"/>
      <c r="K191" s="25"/>
      <c r="L191" s="25"/>
      <c r="M191" s="26" t="str">
        <f t="shared" si="18"/>
        <v/>
      </c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3"/>
      <c r="AB191" t="str">
        <f t="shared" si="19"/>
        <v/>
      </c>
      <c r="AC191">
        <f t="shared" si="20"/>
        <v>0</v>
      </c>
      <c r="AD191">
        <f t="shared" si="21"/>
        <v>0</v>
      </c>
      <c r="AE191" t="str">
        <f t="shared" si="22"/>
        <v/>
      </c>
      <c r="AF191" t="str">
        <f t="shared" si="23"/>
        <v/>
      </c>
      <c r="AG191">
        <f t="shared" si="24"/>
        <v>0</v>
      </c>
      <c r="AH191" t="str">
        <f t="shared" si="25"/>
        <v/>
      </c>
      <c r="AI191" t="str">
        <f t="shared" si="26"/>
        <v/>
      </c>
    </row>
    <row r="192" spans="1:35" x14ac:dyDescent="0.25">
      <c r="A192" s="23"/>
      <c r="B192" s="23"/>
      <c r="C192" s="23"/>
      <c r="D192" s="23"/>
      <c r="E192" s="23"/>
      <c r="F192" s="23"/>
      <c r="G192" s="23"/>
      <c r="H192" s="24"/>
      <c r="I192" s="24"/>
      <c r="J192" s="23"/>
      <c r="K192" s="25"/>
      <c r="L192" s="25"/>
      <c r="M192" s="26" t="str">
        <f t="shared" si="18"/>
        <v/>
      </c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3"/>
      <c r="AB192" t="str">
        <f t="shared" si="19"/>
        <v/>
      </c>
      <c r="AC192">
        <f t="shared" si="20"/>
        <v>0</v>
      </c>
      <c r="AD192">
        <f t="shared" si="21"/>
        <v>0</v>
      </c>
      <c r="AE192" t="str">
        <f t="shared" si="22"/>
        <v/>
      </c>
      <c r="AF192" t="str">
        <f t="shared" si="23"/>
        <v/>
      </c>
      <c r="AG192">
        <f t="shared" si="24"/>
        <v>0</v>
      </c>
      <c r="AH192" t="str">
        <f t="shared" si="25"/>
        <v/>
      </c>
      <c r="AI192" t="str">
        <f t="shared" si="26"/>
        <v/>
      </c>
    </row>
    <row r="193" spans="1:35" x14ac:dyDescent="0.25">
      <c r="A193" s="23"/>
      <c r="B193" s="23"/>
      <c r="C193" s="23"/>
      <c r="D193" s="23"/>
      <c r="E193" s="23"/>
      <c r="F193" s="23"/>
      <c r="G193" s="23"/>
      <c r="H193" s="24"/>
      <c r="I193" s="24"/>
      <c r="J193" s="23"/>
      <c r="K193" s="25"/>
      <c r="L193" s="25"/>
      <c r="M193" s="26" t="str">
        <f t="shared" si="18"/>
        <v/>
      </c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3"/>
      <c r="AB193" t="str">
        <f t="shared" si="19"/>
        <v/>
      </c>
      <c r="AC193">
        <f t="shared" si="20"/>
        <v>0</v>
      </c>
      <c r="AD193">
        <f t="shared" si="21"/>
        <v>0</v>
      </c>
      <c r="AE193" t="str">
        <f t="shared" si="22"/>
        <v/>
      </c>
      <c r="AF193" t="str">
        <f t="shared" si="23"/>
        <v/>
      </c>
      <c r="AG193">
        <f t="shared" si="24"/>
        <v>0</v>
      </c>
      <c r="AH193" t="str">
        <f t="shared" si="25"/>
        <v/>
      </c>
      <c r="AI193" t="str">
        <f t="shared" si="26"/>
        <v/>
      </c>
    </row>
    <row r="194" spans="1:35" x14ac:dyDescent="0.25">
      <c r="A194" s="23"/>
      <c r="B194" s="23"/>
      <c r="C194" s="23"/>
      <c r="D194" s="23"/>
      <c r="E194" s="23"/>
      <c r="F194" s="23"/>
      <c r="G194" s="23"/>
      <c r="H194" s="24"/>
      <c r="I194" s="24"/>
      <c r="J194" s="23"/>
      <c r="K194" s="25"/>
      <c r="L194" s="25"/>
      <c r="M194" s="26" t="str">
        <f t="shared" ref="M194:M257" si="27">IF(AB194="","",IF(AE194&lt;&gt;"","⚠ "&amp;AE194,"✔ "&amp;AI194&amp;IF(AG194&gt;0," · ⚠ "&amp;AG194&amp;IF(AG194=1," fecha cae"," fechas caen")&amp;" en festivo"&amp;IF(OR(AB194="Un día",AB194="Fechas específicas"),": revise la fecha",": se pasará al día hábil siguiente"),"")))</f>
        <v/>
      </c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3"/>
      <c r="AB194" t="str">
        <f t="shared" ref="AB194:AB257" si="28">IF(COUNTA(A194:L194,N194:Y194)=0,"",IF(OR(J194="En fechas específicas",AND(OR(J194="",J194="No"),K194="",COUNT(N194:Y194)&gt;0)),"Fechas específicas",IF(OR(J194="",J194="No"),IF(OR(L194="",L194=K194),"Un día","Varios días"),J194)))</f>
        <v/>
      </c>
      <c r="AC194">
        <f t="shared" ref="AC194:AC257" si="29">IF(AB194="Cada mes",1,IF(AB194="Cada 2 meses",2,IF(AB194="Cada 3 meses",3,IF(AB194="Cada 6 meses",6,0))))</f>
        <v>0</v>
      </c>
      <c r="AD194">
        <f t="shared" ref="AD194:AD257" si="30">IF(ISNUMBER(K194),INT((DAY(K194)-1)/7)+1,0)</f>
        <v>0</v>
      </c>
      <c r="AE194" t="str">
        <f t="shared" ref="AE194:AE257" si="31">IF(AB194="","",IF(A194="","Falta el nombre de la actividad",IF(B194="","Falta la categoría",IF(COUNTIF(Lista_Categoria,B194)=0,"Elija la categoría de la lista",IF(AND(F194="",SedePrincipal=""),"Falta la sede: elíjala aquí o en «1. Datos del área»",IF(AND(F194&lt;&gt;"",COUNTIF(Lista_Sede,F194)=0),"Elija la sede de la lista",IF(AND(E194="",CalendarioPrincipal=""),"Falta el calendario (Académico o Administrativo): elíjalo aquí o en «1. Datos del área»",IF(AND(E194&lt;&gt;"",COUNTIF(Lista_Calendario,E194)=0),"Elija el calendario de la lista",IF(G194="","Falta el lugar",IF(OR(AND(H194&lt;&gt;"",NOT(ISNUMBER(H194))),AND(I194&lt;&gt;"",NOT(ISNUMBER(I194)))),"Hora no válida: use hh:mm (ej. 14:30)",IF(AND(ISNUMBER(H194),ISNUMBER(I194),I194&lt;H194),"La hora fin es antes de la hora inicio",IF(AND(J194&lt;&gt;"",COUNTIF(Lista_Repite,J194)=0),"Elija una opción de la lista «¿Se repite?»",IF(AB194="Fechas específicas",IF(COUNTA(N194:Y194)&lt;&gt;COUNT(N194:Y194),"Alguna fecha de Fecha 1 a Fecha 12 no es válida: use dd/mm/aaaa",IF(COUNT(N194:Y194)=0,"Escriba las fechas en Fecha 1, Fecha 2…","")),IF(COUNTA(N194:Y194)&gt;0,"Escribió fechas en Fecha 1…12: elija «En fechas específicas» o bórrelas",IF(K194="","Falta la fecha en «Desde»",IF(NOT(ISNUMBER(K194)),"La fecha «Desde» no es válida: use dd/mm/aaaa",IF(AND(L194&lt;&gt;"",NOT(ISNUMBER(L194))),"La fecha «Hasta» no es válida: use dd/mm/aaaa",IF(AND(ISNUMBER(L194),L194&lt;K194),"«Hasta» es antes de «Desde»",IF(AND(AB194&lt;&gt;"Un día",AB194&lt;&gt;"Varios días",L194=""),"Falta «Hasta»: la última fecha en que se repite",IF(AND(ISNUMBER(L194),L194-K194&gt;730),"El periodo no puede pasar de 2 años",""))))))))))))))))))))</f>
        <v/>
      </c>
      <c r="AF194" t="str">
        <f t="shared" ref="AF194:AF257" si="32">IF(OR(AB194="",AE194&lt;&gt;""),"",IF(AB194="Fechas específicas",COUNT(N194:Y194),IF(OR(AB194="Un día",AB194="Varios días"),1,SUMPRODUCT((Dias&lt;=L194-K194)*((AB194="Cada semana")*(MOD(Dias,7)=0)+(AB194="Cada 15 días")*(MOD(Dias,14)=0)+(AC194&gt;0)*(WEEKDAY(K194+Dias)=WEEKDAY(K194))*((AD194=5)*(MONTH(K194+Dias+7)&lt;&gt;MONTH(K194+Dias))+(AD194&lt;5)*(INT((DAY(K194+Dias)-1)/7)+1=AD194))*(MOD((YEAR(K194+Dias)-YEAR(K194))*12+MONTH(K194+Dias)-MONTH(K194),MAX(AC194,1))=0))))))</f>
        <v/>
      </c>
      <c r="AG194">
        <f t="shared" ref="AG194:AG257" si="33">IF(AF194="",0,IF(AB194="Fechas específicas",SUMPRODUCT(COUNTIF(Festivos,N194:Y194)),IF(AB194="Un día",COUNTIF(Festivos,K194),IF(AB194="Varios días",0,SUMPRODUCT((Dias&lt;=L194-K194)*((AB194="Cada semana")*(MOD(Dias,7)=0)+(AB194="Cada 15 días")*(MOD(Dias,14)=0)+(AC194&gt;0)*(WEEKDAY(K194+Dias)=WEEKDAY(K194))*((AD194=5)*(MONTH(K194+Dias+7)&lt;&gt;MONTH(K194+Dias))+(AD194&lt;5)*(INT((DAY(K194+Dias)-1)/7)+1=AD194))*(MOD((YEAR(K194+Dias)-YEAR(K194))*12+MONTH(K194+Dias)-MONTH(K194),MAX(AC194,1))=0))*COUNTIF(Festivos,K194+Dias))))))</f>
        <v>0</v>
      </c>
      <c r="AH194" t="str">
        <f t="shared" ref="AH194:AH257" si="34">IF(AB194&lt;&gt;"Fechas específicas","",IF(ISNUMBER(N194),DAY(N194)&amp;" "&amp;CHOOSE(MONTH(N194),"ene","feb","mar","abr","may","jun","jul","ago","sep","oct","nov","dic")&amp;", ","")&amp;IF(ISNUMBER(O194),DAY(O194)&amp;" "&amp;CHOOSE(MONTH(O194),"ene","feb","mar","abr","may","jun","jul","ago","sep","oct","nov","dic")&amp;", ","")&amp;IF(ISNUMBER(P194),DAY(P194)&amp;" "&amp;CHOOSE(MONTH(P194),"ene","feb","mar","abr","may","jun","jul","ago","sep","oct","nov","dic")&amp;", ","")&amp;IF(ISNUMBER(Q194),DAY(Q194)&amp;" "&amp;CHOOSE(MONTH(Q194),"ene","feb","mar","abr","may","jun","jul","ago","sep","oct","nov","dic")&amp;", ","")&amp;IF(ISNUMBER(R194),DAY(R194)&amp;" "&amp;CHOOSE(MONTH(R194),"ene","feb","mar","abr","may","jun","jul","ago","sep","oct","nov","dic")&amp;", ","")&amp;IF(ISNUMBER(S194),DAY(S194)&amp;" "&amp;CHOOSE(MONTH(S194),"ene","feb","mar","abr","may","jun","jul","ago","sep","oct","nov","dic")&amp;", ","")&amp;IF(ISNUMBER(T194),DAY(T194)&amp;" "&amp;CHOOSE(MONTH(T194),"ene","feb","mar","abr","may","jun","jul","ago","sep","oct","nov","dic")&amp;", ","")&amp;IF(ISNUMBER(U194),DAY(U194)&amp;" "&amp;CHOOSE(MONTH(U194),"ene","feb","mar","abr","may","jun","jul","ago","sep","oct","nov","dic")&amp;", ","")&amp;IF(ISNUMBER(V194),DAY(V194)&amp;" "&amp;CHOOSE(MONTH(V194),"ene","feb","mar","abr","may","jun","jul","ago","sep","oct","nov","dic")&amp;", ","")&amp;IF(ISNUMBER(W194),DAY(W194)&amp;" "&amp;CHOOSE(MONTH(W194),"ene","feb","mar","abr","may","jun","jul","ago","sep","oct","nov","dic")&amp;", ","")&amp;IF(ISNUMBER(X194),DAY(X194)&amp;" "&amp;CHOOSE(MONTH(X194),"ene","feb","mar","abr","may","jun","jul","ago","sep","oct","nov","dic")&amp;", ","")&amp;IF(ISNUMBER(Y194),DAY(Y194)&amp;" "&amp;CHOOSE(MONTH(Y194),"ene","feb","mar","abr","may","jun","jul","ago","sep","oct","nov","dic")&amp;", ",""))</f>
        <v/>
      </c>
      <c r="AI194" t="str">
        <f t="shared" ref="AI194:AI257" si="35">IF(OR(AB194="",AE194&lt;&gt;""),"",IF(AB194="Un día","Un día: "&amp;CHOOSE(WEEKDAY(K194,2),"lunes","martes","miércoles","jueves","viernes","sábado","domingo")&amp;" "&amp;TEXT(DAY(K194),"00")&amp;"/"&amp;TEXT(MONTH(K194),"00")&amp;"/"&amp;YEAR(K194),IF(AB194="Varios días","Del "&amp;TEXT(DAY(K194),"00")&amp;"/"&amp;TEXT(MONTH(K194),"00")&amp;"/"&amp;YEAR(K194)&amp;" al "&amp;TEXT(DAY(L194),"00")&amp;"/"&amp;TEXT(MONTH(L194),"00")&amp;"/"&amp;YEAR(L194)&amp;" ("&amp;(L194-K194+1)&amp;" días)",IF(AB194="Fechas específicas",AF194&amp;IF(AF194=1," fecha: "," fechas: ")&amp;LEFT(AH194,LEN(AH194)-2),IF(AB194="Cada semana","Todos los "&amp;CHOOSE(WEEKDAY(K194,2),"lunes","martes","miércoles","jueves","viernes","sábados","domingos"),IF(AB194="Cada 15 días","Cada 15 días ("&amp;CHOOSE(WEEKDAY(K194,2),"lunes","martes","miércoles","jueves","viernes","sábados","domingos")&amp;" de por medio)",CHOOSE(AD194,"Primer","Segundo","Tercer","Cuarto","Último")&amp;" "&amp;CHOOSE(WEEKDAY(K194,2),"lunes","martes","miércoles","jueves","viernes","sábado","domingo")&amp;IF(AC194=1," de cada mes"," cada "&amp;AC194&amp;" meses")))&amp;", del "&amp;TEXT(DAY(K194),"00")&amp;"/"&amp;TEXT(MONTH(K194),"00")&amp;"/"&amp;YEAR(K194)&amp;" al "&amp;TEXT(DAY(L194),"00")&amp;"/"&amp;TEXT(MONTH(L194),"00")&amp;"/"&amp;YEAR(L194)&amp;" · "&amp;AF194&amp;IF(AF194=1," fecha"," fechas")))))</f>
        <v/>
      </c>
    </row>
    <row r="195" spans="1:35" x14ac:dyDescent="0.25">
      <c r="A195" s="23"/>
      <c r="B195" s="23"/>
      <c r="C195" s="23"/>
      <c r="D195" s="23"/>
      <c r="E195" s="23"/>
      <c r="F195" s="23"/>
      <c r="G195" s="23"/>
      <c r="H195" s="24"/>
      <c r="I195" s="24"/>
      <c r="J195" s="23"/>
      <c r="K195" s="25"/>
      <c r="L195" s="25"/>
      <c r="M195" s="26" t="str">
        <f t="shared" si="27"/>
        <v/>
      </c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3"/>
      <c r="AB195" t="str">
        <f t="shared" si="28"/>
        <v/>
      </c>
      <c r="AC195">
        <f t="shared" si="29"/>
        <v>0</v>
      </c>
      <c r="AD195">
        <f t="shared" si="30"/>
        <v>0</v>
      </c>
      <c r="AE195" t="str">
        <f t="shared" si="31"/>
        <v/>
      </c>
      <c r="AF195" t="str">
        <f t="shared" si="32"/>
        <v/>
      </c>
      <c r="AG195">
        <f t="shared" si="33"/>
        <v>0</v>
      </c>
      <c r="AH195" t="str">
        <f t="shared" si="34"/>
        <v/>
      </c>
      <c r="AI195" t="str">
        <f t="shared" si="35"/>
        <v/>
      </c>
    </row>
    <row r="196" spans="1:35" x14ac:dyDescent="0.25">
      <c r="A196" s="23"/>
      <c r="B196" s="23"/>
      <c r="C196" s="23"/>
      <c r="D196" s="23"/>
      <c r="E196" s="23"/>
      <c r="F196" s="23"/>
      <c r="G196" s="23"/>
      <c r="H196" s="24"/>
      <c r="I196" s="24"/>
      <c r="J196" s="23"/>
      <c r="K196" s="25"/>
      <c r="L196" s="25"/>
      <c r="M196" s="26" t="str">
        <f t="shared" si="27"/>
        <v/>
      </c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3"/>
      <c r="AB196" t="str">
        <f t="shared" si="28"/>
        <v/>
      </c>
      <c r="AC196">
        <f t="shared" si="29"/>
        <v>0</v>
      </c>
      <c r="AD196">
        <f t="shared" si="30"/>
        <v>0</v>
      </c>
      <c r="AE196" t="str">
        <f t="shared" si="31"/>
        <v/>
      </c>
      <c r="AF196" t="str">
        <f t="shared" si="32"/>
        <v/>
      </c>
      <c r="AG196">
        <f t="shared" si="33"/>
        <v>0</v>
      </c>
      <c r="AH196" t="str">
        <f t="shared" si="34"/>
        <v/>
      </c>
      <c r="AI196" t="str">
        <f t="shared" si="35"/>
        <v/>
      </c>
    </row>
    <row r="197" spans="1:35" x14ac:dyDescent="0.25">
      <c r="A197" s="23"/>
      <c r="B197" s="23"/>
      <c r="C197" s="23"/>
      <c r="D197" s="23"/>
      <c r="E197" s="23"/>
      <c r="F197" s="23"/>
      <c r="G197" s="23"/>
      <c r="H197" s="24"/>
      <c r="I197" s="24"/>
      <c r="J197" s="23"/>
      <c r="K197" s="25"/>
      <c r="L197" s="25"/>
      <c r="M197" s="26" t="str">
        <f t="shared" si="27"/>
        <v/>
      </c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3"/>
      <c r="AB197" t="str">
        <f t="shared" si="28"/>
        <v/>
      </c>
      <c r="AC197">
        <f t="shared" si="29"/>
        <v>0</v>
      </c>
      <c r="AD197">
        <f t="shared" si="30"/>
        <v>0</v>
      </c>
      <c r="AE197" t="str">
        <f t="shared" si="31"/>
        <v/>
      </c>
      <c r="AF197" t="str">
        <f t="shared" si="32"/>
        <v/>
      </c>
      <c r="AG197">
        <f t="shared" si="33"/>
        <v>0</v>
      </c>
      <c r="AH197" t="str">
        <f t="shared" si="34"/>
        <v/>
      </c>
      <c r="AI197" t="str">
        <f t="shared" si="35"/>
        <v/>
      </c>
    </row>
    <row r="198" spans="1:35" x14ac:dyDescent="0.25">
      <c r="A198" s="23"/>
      <c r="B198" s="23"/>
      <c r="C198" s="23"/>
      <c r="D198" s="23"/>
      <c r="E198" s="23"/>
      <c r="F198" s="23"/>
      <c r="G198" s="23"/>
      <c r="H198" s="24"/>
      <c r="I198" s="24"/>
      <c r="J198" s="23"/>
      <c r="K198" s="25"/>
      <c r="L198" s="25"/>
      <c r="M198" s="26" t="str">
        <f t="shared" si="27"/>
        <v/>
      </c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3"/>
      <c r="AB198" t="str">
        <f t="shared" si="28"/>
        <v/>
      </c>
      <c r="AC198">
        <f t="shared" si="29"/>
        <v>0</v>
      </c>
      <c r="AD198">
        <f t="shared" si="30"/>
        <v>0</v>
      </c>
      <c r="AE198" t="str">
        <f t="shared" si="31"/>
        <v/>
      </c>
      <c r="AF198" t="str">
        <f t="shared" si="32"/>
        <v/>
      </c>
      <c r="AG198">
        <f t="shared" si="33"/>
        <v>0</v>
      </c>
      <c r="AH198" t="str">
        <f t="shared" si="34"/>
        <v/>
      </c>
      <c r="AI198" t="str">
        <f t="shared" si="35"/>
        <v/>
      </c>
    </row>
    <row r="199" spans="1:35" x14ac:dyDescent="0.25">
      <c r="A199" s="23"/>
      <c r="B199" s="23"/>
      <c r="C199" s="23"/>
      <c r="D199" s="23"/>
      <c r="E199" s="23"/>
      <c r="F199" s="23"/>
      <c r="G199" s="23"/>
      <c r="H199" s="24"/>
      <c r="I199" s="24"/>
      <c r="J199" s="23"/>
      <c r="K199" s="25"/>
      <c r="L199" s="25"/>
      <c r="M199" s="26" t="str">
        <f t="shared" si="27"/>
        <v/>
      </c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3"/>
      <c r="AB199" t="str">
        <f t="shared" si="28"/>
        <v/>
      </c>
      <c r="AC199">
        <f t="shared" si="29"/>
        <v>0</v>
      </c>
      <c r="AD199">
        <f t="shared" si="30"/>
        <v>0</v>
      </c>
      <c r="AE199" t="str">
        <f t="shared" si="31"/>
        <v/>
      </c>
      <c r="AF199" t="str">
        <f t="shared" si="32"/>
        <v/>
      </c>
      <c r="AG199">
        <f t="shared" si="33"/>
        <v>0</v>
      </c>
      <c r="AH199" t="str">
        <f t="shared" si="34"/>
        <v/>
      </c>
      <c r="AI199" t="str">
        <f t="shared" si="35"/>
        <v/>
      </c>
    </row>
    <row r="200" spans="1:35" x14ac:dyDescent="0.25">
      <c r="A200" s="23"/>
      <c r="B200" s="23"/>
      <c r="C200" s="23"/>
      <c r="D200" s="23"/>
      <c r="E200" s="23"/>
      <c r="F200" s="23"/>
      <c r="G200" s="23"/>
      <c r="H200" s="24"/>
      <c r="I200" s="24"/>
      <c r="J200" s="23"/>
      <c r="K200" s="25"/>
      <c r="L200" s="25"/>
      <c r="M200" s="26" t="str">
        <f t="shared" si="27"/>
        <v/>
      </c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3"/>
      <c r="AB200" t="str">
        <f t="shared" si="28"/>
        <v/>
      </c>
      <c r="AC200">
        <f t="shared" si="29"/>
        <v>0</v>
      </c>
      <c r="AD200">
        <f t="shared" si="30"/>
        <v>0</v>
      </c>
      <c r="AE200" t="str">
        <f t="shared" si="31"/>
        <v/>
      </c>
      <c r="AF200" t="str">
        <f t="shared" si="32"/>
        <v/>
      </c>
      <c r="AG200">
        <f t="shared" si="33"/>
        <v>0</v>
      </c>
      <c r="AH200" t="str">
        <f t="shared" si="34"/>
        <v/>
      </c>
      <c r="AI200" t="str">
        <f t="shared" si="35"/>
        <v/>
      </c>
    </row>
    <row r="201" spans="1:35" x14ac:dyDescent="0.25">
      <c r="A201" s="23"/>
      <c r="B201" s="23"/>
      <c r="C201" s="23"/>
      <c r="D201" s="23"/>
      <c r="E201" s="23"/>
      <c r="F201" s="23"/>
      <c r="G201" s="23"/>
      <c r="H201" s="24"/>
      <c r="I201" s="24"/>
      <c r="J201" s="23"/>
      <c r="K201" s="25"/>
      <c r="L201" s="25"/>
      <c r="M201" s="26" t="str">
        <f t="shared" si="27"/>
        <v/>
      </c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3"/>
      <c r="AB201" t="str">
        <f t="shared" si="28"/>
        <v/>
      </c>
      <c r="AC201">
        <f t="shared" si="29"/>
        <v>0</v>
      </c>
      <c r="AD201">
        <f t="shared" si="30"/>
        <v>0</v>
      </c>
      <c r="AE201" t="str">
        <f t="shared" si="31"/>
        <v/>
      </c>
      <c r="AF201" t="str">
        <f t="shared" si="32"/>
        <v/>
      </c>
      <c r="AG201">
        <f t="shared" si="33"/>
        <v>0</v>
      </c>
      <c r="AH201" t="str">
        <f t="shared" si="34"/>
        <v/>
      </c>
      <c r="AI201" t="str">
        <f t="shared" si="35"/>
        <v/>
      </c>
    </row>
    <row r="202" spans="1:35" x14ac:dyDescent="0.25">
      <c r="A202" s="23"/>
      <c r="B202" s="23"/>
      <c r="C202" s="23"/>
      <c r="D202" s="23"/>
      <c r="E202" s="23"/>
      <c r="F202" s="23"/>
      <c r="G202" s="23"/>
      <c r="H202" s="24"/>
      <c r="I202" s="24"/>
      <c r="J202" s="23"/>
      <c r="K202" s="25"/>
      <c r="L202" s="25"/>
      <c r="M202" s="26" t="str">
        <f t="shared" si="27"/>
        <v/>
      </c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3"/>
      <c r="AB202" t="str">
        <f t="shared" si="28"/>
        <v/>
      </c>
      <c r="AC202">
        <f t="shared" si="29"/>
        <v>0</v>
      </c>
      <c r="AD202">
        <f t="shared" si="30"/>
        <v>0</v>
      </c>
      <c r="AE202" t="str">
        <f t="shared" si="31"/>
        <v/>
      </c>
      <c r="AF202" t="str">
        <f t="shared" si="32"/>
        <v/>
      </c>
      <c r="AG202">
        <f t="shared" si="33"/>
        <v>0</v>
      </c>
      <c r="AH202" t="str">
        <f t="shared" si="34"/>
        <v/>
      </c>
      <c r="AI202" t="str">
        <f t="shared" si="35"/>
        <v/>
      </c>
    </row>
    <row r="203" spans="1:35" x14ac:dyDescent="0.25">
      <c r="A203" s="23"/>
      <c r="B203" s="23"/>
      <c r="C203" s="23"/>
      <c r="D203" s="23"/>
      <c r="E203" s="23"/>
      <c r="F203" s="23"/>
      <c r="G203" s="23"/>
      <c r="H203" s="24"/>
      <c r="I203" s="24"/>
      <c r="J203" s="23"/>
      <c r="K203" s="25"/>
      <c r="L203" s="25"/>
      <c r="M203" s="26" t="str">
        <f t="shared" si="27"/>
        <v/>
      </c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3"/>
      <c r="AB203" t="str">
        <f t="shared" si="28"/>
        <v/>
      </c>
      <c r="AC203">
        <f t="shared" si="29"/>
        <v>0</v>
      </c>
      <c r="AD203">
        <f t="shared" si="30"/>
        <v>0</v>
      </c>
      <c r="AE203" t="str">
        <f t="shared" si="31"/>
        <v/>
      </c>
      <c r="AF203" t="str">
        <f t="shared" si="32"/>
        <v/>
      </c>
      <c r="AG203">
        <f t="shared" si="33"/>
        <v>0</v>
      </c>
      <c r="AH203" t="str">
        <f t="shared" si="34"/>
        <v/>
      </c>
      <c r="AI203" t="str">
        <f t="shared" si="35"/>
        <v/>
      </c>
    </row>
    <row r="204" spans="1:35" x14ac:dyDescent="0.25">
      <c r="A204" s="23"/>
      <c r="B204" s="23"/>
      <c r="C204" s="23"/>
      <c r="D204" s="23"/>
      <c r="E204" s="23"/>
      <c r="F204" s="23"/>
      <c r="G204" s="23"/>
      <c r="H204" s="24"/>
      <c r="I204" s="24"/>
      <c r="J204" s="23"/>
      <c r="K204" s="25"/>
      <c r="L204" s="25"/>
      <c r="M204" s="26" t="str">
        <f t="shared" si="27"/>
        <v/>
      </c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3"/>
      <c r="AB204" t="str">
        <f t="shared" si="28"/>
        <v/>
      </c>
      <c r="AC204">
        <f t="shared" si="29"/>
        <v>0</v>
      </c>
      <c r="AD204">
        <f t="shared" si="30"/>
        <v>0</v>
      </c>
      <c r="AE204" t="str">
        <f t="shared" si="31"/>
        <v/>
      </c>
      <c r="AF204" t="str">
        <f t="shared" si="32"/>
        <v/>
      </c>
      <c r="AG204">
        <f t="shared" si="33"/>
        <v>0</v>
      </c>
      <c r="AH204" t="str">
        <f t="shared" si="34"/>
        <v/>
      </c>
      <c r="AI204" t="str">
        <f t="shared" si="35"/>
        <v/>
      </c>
    </row>
    <row r="205" spans="1:35" x14ac:dyDescent="0.25">
      <c r="A205" s="23"/>
      <c r="B205" s="23"/>
      <c r="C205" s="23"/>
      <c r="D205" s="23"/>
      <c r="E205" s="23"/>
      <c r="F205" s="23"/>
      <c r="G205" s="23"/>
      <c r="H205" s="24"/>
      <c r="I205" s="24"/>
      <c r="J205" s="23"/>
      <c r="K205" s="25"/>
      <c r="L205" s="25"/>
      <c r="M205" s="26" t="str">
        <f t="shared" si="27"/>
        <v/>
      </c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3"/>
      <c r="AB205" t="str">
        <f t="shared" si="28"/>
        <v/>
      </c>
      <c r="AC205">
        <f t="shared" si="29"/>
        <v>0</v>
      </c>
      <c r="AD205">
        <f t="shared" si="30"/>
        <v>0</v>
      </c>
      <c r="AE205" t="str">
        <f t="shared" si="31"/>
        <v/>
      </c>
      <c r="AF205" t="str">
        <f t="shared" si="32"/>
        <v/>
      </c>
      <c r="AG205">
        <f t="shared" si="33"/>
        <v>0</v>
      </c>
      <c r="AH205" t="str">
        <f t="shared" si="34"/>
        <v/>
      </c>
      <c r="AI205" t="str">
        <f t="shared" si="35"/>
        <v/>
      </c>
    </row>
    <row r="206" spans="1:35" x14ac:dyDescent="0.25">
      <c r="A206" s="23"/>
      <c r="B206" s="23"/>
      <c r="C206" s="23"/>
      <c r="D206" s="23"/>
      <c r="E206" s="23"/>
      <c r="F206" s="23"/>
      <c r="G206" s="23"/>
      <c r="H206" s="24"/>
      <c r="I206" s="24"/>
      <c r="J206" s="23"/>
      <c r="K206" s="25"/>
      <c r="L206" s="25"/>
      <c r="M206" s="26" t="str">
        <f t="shared" si="27"/>
        <v/>
      </c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3"/>
      <c r="AB206" t="str">
        <f t="shared" si="28"/>
        <v/>
      </c>
      <c r="AC206">
        <f t="shared" si="29"/>
        <v>0</v>
      </c>
      <c r="AD206">
        <f t="shared" si="30"/>
        <v>0</v>
      </c>
      <c r="AE206" t="str">
        <f t="shared" si="31"/>
        <v/>
      </c>
      <c r="AF206" t="str">
        <f t="shared" si="32"/>
        <v/>
      </c>
      <c r="AG206">
        <f t="shared" si="33"/>
        <v>0</v>
      </c>
      <c r="AH206" t="str">
        <f t="shared" si="34"/>
        <v/>
      </c>
      <c r="AI206" t="str">
        <f t="shared" si="35"/>
        <v/>
      </c>
    </row>
    <row r="207" spans="1:35" x14ac:dyDescent="0.25">
      <c r="A207" s="23"/>
      <c r="B207" s="23"/>
      <c r="C207" s="23"/>
      <c r="D207" s="23"/>
      <c r="E207" s="23"/>
      <c r="F207" s="23"/>
      <c r="G207" s="23"/>
      <c r="H207" s="24"/>
      <c r="I207" s="24"/>
      <c r="J207" s="23"/>
      <c r="K207" s="25"/>
      <c r="L207" s="25"/>
      <c r="M207" s="26" t="str">
        <f t="shared" si="27"/>
        <v/>
      </c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3"/>
      <c r="AB207" t="str">
        <f t="shared" si="28"/>
        <v/>
      </c>
      <c r="AC207">
        <f t="shared" si="29"/>
        <v>0</v>
      </c>
      <c r="AD207">
        <f t="shared" si="30"/>
        <v>0</v>
      </c>
      <c r="AE207" t="str">
        <f t="shared" si="31"/>
        <v/>
      </c>
      <c r="AF207" t="str">
        <f t="shared" si="32"/>
        <v/>
      </c>
      <c r="AG207">
        <f t="shared" si="33"/>
        <v>0</v>
      </c>
      <c r="AH207" t="str">
        <f t="shared" si="34"/>
        <v/>
      </c>
      <c r="AI207" t="str">
        <f t="shared" si="35"/>
        <v/>
      </c>
    </row>
    <row r="208" spans="1:35" x14ac:dyDescent="0.25">
      <c r="A208" s="23"/>
      <c r="B208" s="23"/>
      <c r="C208" s="23"/>
      <c r="D208" s="23"/>
      <c r="E208" s="23"/>
      <c r="F208" s="23"/>
      <c r="G208" s="23"/>
      <c r="H208" s="24"/>
      <c r="I208" s="24"/>
      <c r="J208" s="23"/>
      <c r="K208" s="25"/>
      <c r="L208" s="25"/>
      <c r="M208" s="26" t="str">
        <f t="shared" si="27"/>
        <v/>
      </c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3"/>
      <c r="AB208" t="str">
        <f t="shared" si="28"/>
        <v/>
      </c>
      <c r="AC208">
        <f t="shared" si="29"/>
        <v>0</v>
      </c>
      <c r="AD208">
        <f t="shared" si="30"/>
        <v>0</v>
      </c>
      <c r="AE208" t="str">
        <f t="shared" si="31"/>
        <v/>
      </c>
      <c r="AF208" t="str">
        <f t="shared" si="32"/>
        <v/>
      </c>
      <c r="AG208">
        <f t="shared" si="33"/>
        <v>0</v>
      </c>
      <c r="AH208" t="str">
        <f t="shared" si="34"/>
        <v/>
      </c>
      <c r="AI208" t="str">
        <f t="shared" si="35"/>
        <v/>
      </c>
    </row>
    <row r="209" spans="1:35" x14ac:dyDescent="0.25">
      <c r="A209" s="23"/>
      <c r="B209" s="23"/>
      <c r="C209" s="23"/>
      <c r="D209" s="23"/>
      <c r="E209" s="23"/>
      <c r="F209" s="23"/>
      <c r="G209" s="23"/>
      <c r="H209" s="24"/>
      <c r="I209" s="24"/>
      <c r="J209" s="23"/>
      <c r="K209" s="25"/>
      <c r="L209" s="25"/>
      <c r="M209" s="26" t="str">
        <f t="shared" si="27"/>
        <v/>
      </c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3"/>
      <c r="AB209" t="str">
        <f t="shared" si="28"/>
        <v/>
      </c>
      <c r="AC209">
        <f t="shared" si="29"/>
        <v>0</v>
      </c>
      <c r="AD209">
        <f t="shared" si="30"/>
        <v>0</v>
      </c>
      <c r="AE209" t="str">
        <f t="shared" si="31"/>
        <v/>
      </c>
      <c r="AF209" t="str">
        <f t="shared" si="32"/>
        <v/>
      </c>
      <c r="AG209">
        <f t="shared" si="33"/>
        <v>0</v>
      </c>
      <c r="AH209" t="str">
        <f t="shared" si="34"/>
        <v/>
      </c>
      <c r="AI209" t="str">
        <f t="shared" si="35"/>
        <v/>
      </c>
    </row>
    <row r="210" spans="1:35" x14ac:dyDescent="0.25">
      <c r="A210" s="23"/>
      <c r="B210" s="23"/>
      <c r="C210" s="23"/>
      <c r="D210" s="23"/>
      <c r="E210" s="23"/>
      <c r="F210" s="23"/>
      <c r="G210" s="23"/>
      <c r="H210" s="24"/>
      <c r="I210" s="24"/>
      <c r="J210" s="23"/>
      <c r="K210" s="25"/>
      <c r="L210" s="25"/>
      <c r="M210" s="26" t="str">
        <f t="shared" si="27"/>
        <v/>
      </c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3"/>
      <c r="AB210" t="str">
        <f t="shared" si="28"/>
        <v/>
      </c>
      <c r="AC210">
        <f t="shared" si="29"/>
        <v>0</v>
      </c>
      <c r="AD210">
        <f t="shared" si="30"/>
        <v>0</v>
      </c>
      <c r="AE210" t="str">
        <f t="shared" si="31"/>
        <v/>
      </c>
      <c r="AF210" t="str">
        <f t="shared" si="32"/>
        <v/>
      </c>
      <c r="AG210">
        <f t="shared" si="33"/>
        <v>0</v>
      </c>
      <c r="AH210" t="str">
        <f t="shared" si="34"/>
        <v/>
      </c>
      <c r="AI210" t="str">
        <f t="shared" si="35"/>
        <v/>
      </c>
    </row>
    <row r="211" spans="1:35" x14ac:dyDescent="0.25">
      <c r="A211" s="23"/>
      <c r="B211" s="23"/>
      <c r="C211" s="23"/>
      <c r="D211" s="23"/>
      <c r="E211" s="23"/>
      <c r="F211" s="23"/>
      <c r="G211" s="23"/>
      <c r="H211" s="24"/>
      <c r="I211" s="24"/>
      <c r="J211" s="23"/>
      <c r="K211" s="25"/>
      <c r="L211" s="25"/>
      <c r="M211" s="26" t="str">
        <f t="shared" si="27"/>
        <v/>
      </c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3"/>
      <c r="AB211" t="str">
        <f t="shared" si="28"/>
        <v/>
      </c>
      <c r="AC211">
        <f t="shared" si="29"/>
        <v>0</v>
      </c>
      <c r="AD211">
        <f t="shared" si="30"/>
        <v>0</v>
      </c>
      <c r="AE211" t="str">
        <f t="shared" si="31"/>
        <v/>
      </c>
      <c r="AF211" t="str">
        <f t="shared" si="32"/>
        <v/>
      </c>
      <c r="AG211">
        <f t="shared" si="33"/>
        <v>0</v>
      </c>
      <c r="AH211" t="str">
        <f t="shared" si="34"/>
        <v/>
      </c>
      <c r="AI211" t="str">
        <f t="shared" si="35"/>
        <v/>
      </c>
    </row>
    <row r="212" spans="1:35" x14ac:dyDescent="0.25">
      <c r="A212" s="23"/>
      <c r="B212" s="23"/>
      <c r="C212" s="23"/>
      <c r="D212" s="23"/>
      <c r="E212" s="23"/>
      <c r="F212" s="23"/>
      <c r="G212" s="23"/>
      <c r="H212" s="24"/>
      <c r="I212" s="24"/>
      <c r="J212" s="23"/>
      <c r="K212" s="25"/>
      <c r="L212" s="25"/>
      <c r="M212" s="26" t="str">
        <f t="shared" si="27"/>
        <v/>
      </c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3"/>
      <c r="AB212" t="str">
        <f t="shared" si="28"/>
        <v/>
      </c>
      <c r="AC212">
        <f t="shared" si="29"/>
        <v>0</v>
      </c>
      <c r="AD212">
        <f t="shared" si="30"/>
        <v>0</v>
      </c>
      <c r="AE212" t="str">
        <f t="shared" si="31"/>
        <v/>
      </c>
      <c r="AF212" t="str">
        <f t="shared" si="32"/>
        <v/>
      </c>
      <c r="AG212">
        <f t="shared" si="33"/>
        <v>0</v>
      </c>
      <c r="AH212" t="str">
        <f t="shared" si="34"/>
        <v/>
      </c>
      <c r="AI212" t="str">
        <f t="shared" si="35"/>
        <v/>
      </c>
    </row>
    <row r="213" spans="1:35" x14ac:dyDescent="0.25">
      <c r="A213" s="23"/>
      <c r="B213" s="23"/>
      <c r="C213" s="23"/>
      <c r="D213" s="23"/>
      <c r="E213" s="23"/>
      <c r="F213" s="23"/>
      <c r="G213" s="23"/>
      <c r="H213" s="24"/>
      <c r="I213" s="24"/>
      <c r="J213" s="23"/>
      <c r="K213" s="25"/>
      <c r="L213" s="25"/>
      <c r="M213" s="26" t="str">
        <f t="shared" si="27"/>
        <v/>
      </c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3"/>
      <c r="AB213" t="str">
        <f t="shared" si="28"/>
        <v/>
      </c>
      <c r="AC213">
        <f t="shared" si="29"/>
        <v>0</v>
      </c>
      <c r="AD213">
        <f t="shared" si="30"/>
        <v>0</v>
      </c>
      <c r="AE213" t="str">
        <f t="shared" si="31"/>
        <v/>
      </c>
      <c r="AF213" t="str">
        <f t="shared" si="32"/>
        <v/>
      </c>
      <c r="AG213">
        <f t="shared" si="33"/>
        <v>0</v>
      </c>
      <c r="AH213" t="str">
        <f t="shared" si="34"/>
        <v/>
      </c>
      <c r="AI213" t="str">
        <f t="shared" si="35"/>
        <v/>
      </c>
    </row>
    <row r="214" spans="1:35" x14ac:dyDescent="0.25">
      <c r="A214" s="23"/>
      <c r="B214" s="23"/>
      <c r="C214" s="23"/>
      <c r="D214" s="23"/>
      <c r="E214" s="23"/>
      <c r="F214" s="23"/>
      <c r="G214" s="23"/>
      <c r="H214" s="24"/>
      <c r="I214" s="24"/>
      <c r="J214" s="23"/>
      <c r="K214" s="25"/>
      <c r="L214" s="25"/>
      <c r="M214" s="26" t="str">
        <f t="shared" si="27"/>
        <v/>
      </c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3"/>
      <c r="AB214" t="str">
        <f t="shared" si="28"/>
        <v/>
      </c>
      <c r="AC214">
        <f t="shared" si="29"/>
        <v>0</v>
      </c>
      <c r="AD214">
        <f t="shared" si="30"/>
        <v>0</v>
      </c>
      <c r="AE214" t="str">
        <f t="shared" si="31"/>
        <v/>
      </c>
      <c r="AF214" t="str">
        <f t="shared" si="32"/>
        <v/>
      </c>
      <c r="AG214">
        <f t="shared" si="33"/>
        <v>0</v>
      </c>
      <c r="AH214" t="str">
        <f t="shared" si="34"/>
        <v/>
      </c>
      <c r="AI214" t="str">
        <f t="shared" si="35"/>
        <v/>
      </c>
    </row>
    <row r="215" spans="1:35" x14ac:dyDescent="0.25">
      <c r="A215" s="23"/>
      <c r="B215" s="23"/>
      <c r="C215" s="23"/>
      <c r="D215" s="23"/>
      <c r="E215" s="23"/>
      <c r="F215" s="23"/>
      <c r="G215" s="23"/>
      <c r="H215" s="24"/>
      <c r="I215" s="24"/>
      <c r="J215" s="23"/>
      <c r="K215" s="25"/>
      <c r="L215" s="25"/>
      <c r="M215" s="26" t="str">
        <f t="shared" si="27"/>
        <v/>
      </c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3"/>
      <c r="AB215" t="str">
        <f t="shared" si="28"/>
        <v/>
      </c>
      <c r="AC215">
        <f t="shared" si="29"/>
        <v>0</v>
      </c>
      <c r="AD215">
        <f t="shared" si="30"/>
        <v>0</v>
      </c>
      <c r="AE215" t="str">
        <f t="shared" si="31"/>
        <v/>
      </c>
      <c r="AF215" t="str">
        <f t="shared" si="32"/>
        <v/>
      </c>
      <c r="AG215">
        <f t="shared" si="33"/>
        <v>0</v>
      </c>
      <c r="AH215" t="str">
        <f t="shared" si="34"/>
        <v/>
      </c>
      <c r="AI215" t="str">
        <f t="shared" si="35"/>
        <v/>
      </c>
    </row>
    <row r="216" spans="1:35" x14ac:dyDescent="0.25">
      <c r="A216" s="23"/>
      <c r="B216" s="23"/>
      <c r="C216" s="23"/>
      <c r="D216" s="23"/>
      <c r="E216" s="23"/>
      <c r="F216" s="23"/>
      <c r="G216" s="23"/>
      <c r="H216" s="24"/>
      <c r="I216" s="24"/>
      <c r="J216" s="23"/>
      <c r="K216" s="25"/>
      <c r="L216" s="25"/>
      <c r="M216" s="26" t="str">
        <f t="shared" si="27"/>
        <v/>
      </c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3"/>
      <c r="AB216" t="str">
        <f t="shared" si="28"/>
        <v/>
      </c>
      <c r="AC216">
        <f t="shared" si="29"/>
        <v>0</v>
      </c>
      <c r="AD216">
        <f t="shared" si="30"/>
        <v>0</v>
      </c>
      <c r="AE216" t="str">
        <f t="shared" si="31"/>
        <v/>
      </c>
      <c r="AF216" t="str">
        <f t="shared" si="32"/>
        <v/>
      </c>
      <c r="AG216">
        <f t="shared" si="33"/>
        <v>0</v>
      </c>
      <c r="AH216" t="str">
        <f t="shared" si="34"/>
        <v/>
      </c>
      <c r="AI216" t="str">
        <f t="shared" si="35"/>
        <v/>
      </c>
    </row>
    <row r="217" spans="1:35" x14ac:dyDescent="0.25">
      <c r="A217" s="23"/>
      <c r="B217" s="23"/>
      <c r="C217" s="23"/>
      <c r="D217" s="23"/>
      <c r="E217" s="23"/>
      <c r="F217" s="23"/>
      <c r="G217" s="23"/>
      <c r="H217" s="24"/>
      <c r="I217" s="24"/>
      <c r="J217" s="23"/>
      <c r="K217" s="25"/>
      <c r="L217" s="25"/>
      <c r="M217" s="26" t="str">
        <f t="shared" si="27"/>
        <v/>
      </c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3"/>
      <c r="AB217" t="str">
        <f t="shared" si="28"/>
        <v/>
      </c>
      <c r="AC217">
        <f t="shared" si="29"/>
        <v>0</v>
      </c>
      <c r="AD217">
        <f t="shared" si="30"/>
        <v>0</v>
      </c>
      <c r="AE217" t="str">
        <f t="shared" si="31"/>
        <v/>
      </c>
      <c r="AF217" t="str">
        <f t="shared" si="32"/>
        <v/>
      </c>
      <c r="AG217">
        <f t="shared" si="33"/>
        <v>0</v>
      </c>
      <c r="AH217" t="str">
        <f t="shared" si="34"/>
        <v/>
      </c>
      <c r="AI217" t="str">
        <f t="shared" si="35"/>
        <v/>
      </c>
    </row>
    <row r="218" spans="1:35" x14ac:dyDescent="0.25">
      <c r="A218" s="23"/>
      <c r="B218" s="23"/>
      <c r="C218" s="23"/>
      <c r="D218" s="23"/>
      <c r="E218" s="23"/>
      <c r="F218" s="23"/>
      <c r="G218" s="23"/>
      <c r="H218" s="24"/>
      <c r="I218" s="24"/>
      <c r="J218" s="23"/>
      <c r="K218" s="25"/>
      <c r="L218" s="25"/>
      <c r="M218" s="26" t="str">
        <f t="shared" si="27"/>
        <v/>
      </c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3"/>
      <c r="AB218" t="str">
        <f t="shared" si="28"/>
        <v/>
      </c>
      <c r="AC218">
        <f t="shared" si="29"/>
        <v>0</v>
      </c>
      <c r="AD218">
        <f t="shared" si="30"/>
        <v>0</v>
      </c>
      <c r="AE218" t="str">
        <f t="shared" si="31"/>
        <v/>
      </c>
      <c r="AF218" t="str">
        <f t="shared" si="32"/>
        <v/>
      </c>
      <c r="AG218">
        <f t="shared" si="33"/>
        <v>0</v>
      </c>
      <c r="AH218" t="str">
        <f t="shared" si="34"/>
        <v/>
      </c>
      <c r="AI218" t="str">
        <f t="shared" si="35"/>
        <v/>
      </c>
    </row>
    <row r="219" spans="1:35" x14ac:dyDescent="0.25">
      <c r="A219" s="23"/>
      <c r="B219" s="23"/>
      <c r="C219" s="23"/>
      <c r="D219" s="23"/>
      <c r="E219" s="23"/>
      <c r="F219" s="23"/>
      <c r="G219" s="23"/>
      <c r="H219" s="24"/>
      <c r="I219" s="24"/>
      <c r="J219" s="23"/>
      <c r="K219" s="25"/>
      <c r="L219" s="25"/>
      <c r="M219" s="26" t="str">
        <f t="shared" si="27"/>
        <v/>
      </c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3"/>
      <c r="AB219" t="str">
        <f t="shared" si="28"/>
        <v/>
      </c>
      <c r="AC219">
        <f t="shared" si="29"/>
        <v>0</v>
      </c>
      <c r="AD219">
        <f t="shared" si="30"/>
        <v>0</v>
      </c>
      <c r="AE219" t="str">
        <f t="shared" si="31"/>
        <v/>
      </c>
      <c r="AF219" t="str">
        <f t="shared" si="32"/>
        <v/>
      </c>
      <c r="AG219">
        <f t="shared" si="33"/>
        <v>0</v>
      </c>
      <c r="AH219" t="str">
        <f t="shared" si="34"/>
        <v/>
      </c>
      <c r="AI219" t="str">
        <f t="shared" si="35"/>
        <v/>
      </c>
    </row>
    <row r="220" spans="1:35" x14ac:dyDescent="0.25">
      <c r="A220" s="23"/>
      <c r="B220" s="23"/>
      <c r="C220" s="23"/>
      <c r="D220" s="23"/>
      <c r="E220" s="23"/>
      <c r="F220" s="23"/>
      <c r="G220" s="23"/>
      <c r="H220" s="24"/>
      <c r="I220" s="24"/>
      <c r="J220" s="23"/>
      <c r="K220" s="25"/>
      <c r="L220" s="25"/>
      <c r="M220" s="26" t="str">
        <f t="shared" si="27"/>
        <v/>
      </c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3"/>
      <c r="AB220" t="str">
        <f t="shared" si="28"/>
        <v/>
      </c>
      <c r="AC220">
        <f t="shared" si="29"/>
        <v>0</v>
      </c>
      <c r="AD220">
        <f t="shared" si="30"/>
        <v>0</v>
      </c>
      <c r="AE220" t="str">
        <f t="shared" si="31"/>
        <v/>
      </c>
      <c r="AF220" t="str">
        <f t="shared" si="32"/>
        <v/>
      </c>
      <c r="AG220">
        <f t="shared" si="33"/>
        <v>0</v>
      </c>
      <c r="AH220" t="str">
        <f t="shared" si="34"/>
        <v/>
      </c>
      <c r="AI220" t="str">
        <f t="shared" si="35"/>
        <v/>
      </c>
    </row>
    <row r="221" spans="1:35" x14ac:dyDescent="0.25">
      <c r="A221" s="23"/>
      <c r="B221" s="23"/>
      <c r="C221" s="23"/>
      <c r="D221" s="23"/>
      <c r="E221" s="23"/>
      <c r="F221" s="23"/>
      <c r="G221" s="23"/>
      <c r="H221" s="24"/>
      <c r="I221" s="24"/>
      <c r="J221" s="23"/>
      <c r="K221" s="25"/>
      <c r="L221" s="25"/>
      <c r="M221" s="26" t="str">
        <f t="shared" si="27"/>
        <v/>
      </c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3"/>
      <c r="AB221" t="str">
        <f t="shared" si="28"/>
        <v/>
      </c>
      <c r="AC221">
        <f t="shared" si="29"/>
        <v>0</v>
      </c>
      <c r="AD221">
        <f t="shared" si="30"/>
        <v>0</v>
      </c>
      <c r="AE221" t="str">
        <f t="shared" si="31"/>
        <v/>
      </c>
      <c r="AF221" t="str">
        <f t="shared" si="32"/>
        <v/>
      </c>
      <c r="AG221">
        <f t="shared" si="33"/>
        <v>0</v>
      </c>
      <c r="AH221" t="str">
        <f t="shared" si="34"/>
        <v/>
      </c>
      <c r="AI221" t="str">
        <f t="shared" si="35"/>
        <v/>
      </c>
    </row>
    <row r="222" spans="1:35" x14ac:dyDescent="0.25">
      <c r="A222" s="23"/>
      <c r="B222" s="23"/>
      <c r="C222" s="23"/>
      <c r="D222" s="23"/>
      <c r="E222" s="23"/>
      <c r="F222" s="23"/>
      <c r="G222" s="23"/>
      <c r="H222" s="24"/>
      <c r="I222" s="24"/>
      <c r="J222" s="23"/>
      <c r="K222" s="25"/>
      <c r="L222" s="25"/>
      <c r="M222" s="26" t="str">
        <f t="shared" si="27"/>
        <v/>
      </c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3"/>
      <c r="AB222" t="str">
        <f t="shared" si="28"/>
        <v/>
      </c>
      <c r="AC222">
        <f t="shared" si="29"/>
        <v>0</v>
      </c>
      <c r="AD222">
        <f t="shared" si="30"/>
        <v>0</v>
      </c>
      <c r="AE222" t="str">
        <f t="shared" si="31"/>
        <v/>
      </c>
      <c r="AF222" t="str">
        <f t="shared" si="32"/>
        <v/>
      </c>
      <c r="AG222">
        <f t="shared" si="33"/>
        <v>0</v>
      </c>
      <c r="AH222" t="str">
        <f t="shared" si="34"/>
        <v/>
      </c>
      <c r="AI222" t="str">
        <f t="shared" si="35"/>
        <v/>
      </c>
    </row>
    <row r="223" spans="1:35" x14ac:dyDescent="0.25">
      <c r="A223" s="23"/>
      <c r="B223" s="23"/>
      <c r="C223" s="23"/>
      <c r="D223" s="23"/>
      <c r="E223" s="23"/>
      <c r="F223" s="23"/>
      <c r="G223" s="23"/>
      <c r="H223" s="24"/>
      <c r="I223" s="24"/>
      <c r="J223" s="23"/>
      <c r="K223" s="25"/>
      <c r="L223" s="25"/>
      <c r="M223" s="26" t="str">
        <f t="shared" si="27"/>
        <v/>
      </c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3"/>
      <c r="AB223" t="str">
        <f t="shared" si="28"/>
        <v/>
      </c>
      <c r="AC223">
        <f t="shared" si="29"/>
        <v>0</v>
      </c>
      <c r="AD223">
        <f t="shared" si="30"/>
        <v>0</v>
      </c>
      <c r="AE223" t="str">
        <f t="shared" si="31"/>
        <v/>
      </c>
      <c r="AF223" t="str">
        <f t="shared" si="32"/>
        <v/>
      </c>
      <c r="AG223">
        <f t="shared" si="33"/>
        <v>0</v>
      </c>
      <c r="AH223" t="str">
        <f t="shared" si="34"/>
        <v/>
      </c>
      <c r="AI223" t="str">
        <f t="shared" si="35"/>
        <v/>
      </c>
    </row>
    <row r="224" spans="1:35" x14ac:dyDescent="0.25">
      <c r="A224" s="23"/>
      <c r="B224" s="23"/>
      <c r="C224" s="23"/>
      <c r="D224" s="23"/>
      <c r="E224" s="23"/>
      <c r="F224" s="23"/>
      <c r="G224" s="23"/>
      <c r="H224" s="24"/>
      <c r="I224" s="24"/>
      <c r="J224" s="23"/>
      <c r="K224" s="25"/>
      <c r="L224" s="25"/>
      <c r="M224" s="26" t="str">
        <f t="shared" si="27"/>
        <v/>
      </c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3"/>
      <c r="AB224" t="str">
        <f t="shared" si="28"/>
        <v/>
      </c>
      <c r="AC224">
        <f t="shared" si="29"/>
        <v>0</v>
      </c>
      <c r="AD224">
        <f t="shared" si="30"/>
        <v>0</v>
      </c>
      <c r="AE224" t="str">
        <f t="shared" si="31"/>
        <v/>
      </c>
      <c r="AF224" t="str">
        <f t="shared" si="32"/>
        <v/>
      </c>
      <c r="AG224">
        <f t="shared" si="33"/>
        <v>0</v>
      </c>
      <c r="AH224" t="str">
        <f t="shared" si="34"/>
        <v/>
      </c>
      <c r="AI224" t="str">
        <f t="shared" si="35"/>
        <v/>
      </c>
    </row>
    <row r="225" spans="1:35" x14ac:dyDescent="0.25">
      <c r="A225" s="23"/>
      <c r="B225" s="23"/>
      <c r="C225" s="23"/>
      <c r="D225" s="23"/>
      <c r="E225" s="23"/>
      <c r="F225" s="23"/>
      <c r="G225" s="23"/>
      <c r="H225" s="24"/>
      <c r="I225" s="24"/>
      <c r="J225" s="23"/>
      <c r="K225" s="25"/>
      <c r="L225" s="25"/>
      <c r="M225" s="26" t="str">
        <f t="shared" si="27"/>
        <v/>
      </c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3"/>
      <c r="AB225" t="str">
        <f t="shared" si="28"/>
        <v/>
      </c>
      <c r="AC225">
        <f t="shared" si="29"/>
        <v>0</v>
      </c>
      <c r="AD225">
        <f t="shared" si="30"/>
        <v>0</v>
      </c>
      <c r="AE225" t="str">
        <f t="shared" si="31"/>
        <v/>
      </c>
      <c r="AF225" t="str">
        <f t="shared" si="32"/>
        <v/>
      </c>
      <c r="AG225">
        <f t="shared" si="33"/>
        <v>0</v>
      </c>
      <c r="AH225" t="str">
        <f t="shared" si="34"/>
        <v/>
      </c>
      <c r="AI225" t="str">
        <f t="shared" si="35"/>
        <v/>
      </c>
    </row>
    <row r="226" spans="1:35" x14ac:dyDescent="0.25">
      <c r="A226" s="23"/>
      <c r="B226" s="23"/>
      <c r="C226" s="23"/>
      <c r="D226" s="23"/>
      <c r="E226" s="23"/>
      <c r="F226" s="23"/>
      <c r="G226" s="23"/>
      <c r="H226" s="24"/>
      <c r="I226" s="24"/>
      <c r="J226" s="23"/>
      <c r="K226" s="25"/>
      <c r="L226" s="25"/>
      <c r="M226" s="26" t="str">
        <f t="shared" si="27"/>
        <v/>
      </c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3"/>
      <c r="AB226" t="str">
        <f t="shared" si="28"/>
        <v/>
      </c>
      <c r="AC226">
        <f t="shared" si="29"/>
        <v>0</v>
      </c>
      <c r="AD226">
        <f t="shared" si="30"/>
        <v>0</v>
      </c>
      <c r="AE226" t="str">
        <f t="shared" si="31"/>
        <v/>
      </c>
      <c r="AF226" t="str">
        <f t="shared" si="32"/>
        <v/>
      </c>
      <c r="AG226">
        <f t="shared" si="33"/>
        <v>0</v>
      </c>
      <c r="AH226" t="str">
        <f t="shared" si="34"/>
        <v/>
      </c>
      <c r="AI226" t="str">
        <f t="shared" si="35"/>
        <v/>
      </c>
    </row>
    <row r="227" spans="1:35" x14ac:dyDescent="0.25">
      <c r="A227" s="23"/>
      <c r="B227" s="23"/>
      <c r="C227" s="23"/>
      <c r="D227" s="23"/>
      <c r="E227" s="23"/>
      <c r="F227" s="23"/>
      <c r="G227" s="23"/>
      <c r="H227" s="24"/>
      <c r="I227" s="24"/>
      <c r="J227" s="23"/>
      <c r="K227" s="25"/>
      <c r="L227" s="25"/>
      <c r="M227" s="26" t="str">
        <f t="shared" si="27"/>
        <v/>
      </c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3"/>
      <c r="AB227" t="str">
        <f t="shared" si="28"/>
        <v/>
      </c>
      <c r="AC227">
        <f t="shared" si="29"/>
        <v>0</v>
      </c>
      <c r="AD227">
        <f t="shared" si="30"/>
        <v>0</v>
      </c>
      <c r="AE227" t="str">
        <f t="shared" si="31"/>
        <v/>
      </c>
      <c r="AF227" t="str">
        <f t="shared" si="32"/>
        <v/>
      </c>
      <c r="AG227">
        <f t="shared" si="33"/>
        <v>0</v>
      </c>
      <c r="AH227" t="str">
        <f t="shared" si="34"/>
        <v/>
      </c>
      <c r="AI227" t="str">
        <f t="shared" si="35"/>
        <v/>
      </c>
    </row>
    <row r="228" spans="1:35" x14ac:dyDescent="0.25">
      <c r="A228" s="23"/>
      <c r="B228" s="23"/>
      <c r="C228" s="23"/>
      <c r="D228" s="23"/>
      <c r="E228" s="23"/>
      <c r="F228" s="23"/>
      <c r="G228" s="23"/>
      <c r="H228" s="24"/>
      <c r="I228" s="24"/>
      <c r="J228" s="23"/>
      <c r="K228" s="25"/>
      <c r="L228" s="25"/>
      <c r="M228" s="26" t="str">
        <f t="shared" si="27"/>
        <v/>
      </c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3"/>
      <c r="AB228" t="str">
        <f t="shared" si="28"/>
        <v/>
      </c>
      <c r="AC228">
        <f t="shared" si="29"/>
        <v>0</v>
      </c>
      <c r="AD228">
        <f t="shared" si="30"/>
        <v>0</v>
      </c>
      <c r="AE228" t="str">
        <f t="shared" si="31"/>
        <v/>
      </c>
      <c r="AF228" t="str">
        <f t="shared" si="32"/>
        <v/>
      </c>
      <c r="AG228">
        <f t="shared" si="33"/>
        <v>0</v>
      </c>
      <c r="AH228" t="str">
        <f t="shared" si="34"/>
        <v/>
      </c>
      <c r="AI228" t="str">
        <f t="shared" si="35"/>
        <v/>
      </c>
    </row>
    <row r="229" spans="1:35" x14ac:dyDescent="0.25">
      <c r="A229" s="23"/>
      <c r="B229" s="23"/>
      <c r="C229" s="23"/>
      <c r="D229" s="23"/>
      <c r="E229" s="23"/>
      <c r="F229" s="23"/>
      <c r="G229" s="23"/>
      <c r="H229" s="24"/>
      <c r="I229" s="24"/>
      <c r="J229" s="23"/>
      <c r="K229" s="25"/>
      <c r="L229" s="25"/>
      <c r="M229" s="26" t="str">
        <f t="shared" si="27"/>
        <v/>
      </c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3"/>
      <c r="AB229" t="str">
        <f t="shared" si="28"/>
        <v/>
      </c>
      <c r="AC229">
        <f t="shared" si="29"/>
        <v>0</v>
      </c>
      <c r="AD229">
        <f t="shared" si="30"/>
        <v>0</v>
      </c>
      <c r="AE229" t="str">
        <f t="shared" si="31"/>
        <v/>
      </c>
      <c r="AF229" t="str">
        <f t="shared" si="32"/>
        <v/>
      </c>
      <c r="AG229">
        <f t="shared" si="33"/>
        <v>0</v>
      </c>
      <c r="AH229" t="str">
        <f t="shared" si="34"/>
        <v/>
      </c>
      <c r="AI229" t="str">
        <f t="shared" si="35"/>
        <v/>
      </c>
    </row>
    <row r="230" spans="1:35" x14ac:dyDescent="0.25">
      <c r="A230" s="23"/>
      <c r="B230" s="23"/>
      <c r="C230" s="23"/>
      <c r="D230" s="23"/>
      <c r="E230" s="23"/>
      <c r="F230" s="23"/>
      <c r="G230" s="23"/>
      <c r="H230" s="24"/>
      <c r="I230" s="24"/>
      <c r="J230" s="23"/>
      <c r="K230" s="25"/>
      <c r="L230" s="25"/>
      <c r="M230" s="26" t="str">
        <f t="shared" si="27"/>
        <v/>
      </c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3"/>
      <c r="AB230" t="str">
        <f t="shared" si="28"/>
        <v/>
      </c>
      <c r="AC230">
        <f t="shared" si="29"/>
        <v>0</v>
      </c>
      <c r="AD230">
        <f t="shared" si="30"/>
        <v>0</v>
      </c>
      <c r="AE230" t="str">
        <f t="shared" si="31"/>
        <v/>
      </c>
      <c r="AF230" t="str">
        <f t="shared" si="32"/>
        <v/>
      </c>
      <c r="AG230">
        <f t="shared" si="33"/>
        <v>0</v>
      </c>
      <c r="AH230" t="str">
        <f t="shared" si="34"/>
        <v/>
      </c>
      <c r="AI230" t="str">
        <f t="shared" si="35"/>
        <v/>
      </c>
    </row>
    <row r="231" spans="1:35" x14ac:dyDescent="0.25">
      <c r="A231" s="23"/>
      <c r="B231" s="23"/>
      <c r="C231" s="23"/>
      <c r="D231" s="23"/>
      <c r="E231" s="23"/>
      <c r="F231" s="23"/>
      <c r="G231" s="23"/>
      <c r="H231" s="24"/>
      <c r="I231" s="24"/>
      <c r="J231" s="23"/>
      <c r="K231" s="25"/>
      <c r="L231" s="25"/>
      <c r="M231" s="26" t="str">
        <f t="shared" si="27"/>
        <v/>
      </c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3"/>
      <c r="AB231" t="str">
        <f t="shared" si="28"/>
        <v/>
      </c>
      <c r="AC231">
        <f t="shared" si="29"/>
        <v>0</v>
      </c>
      <c r="AD231">
        <f t="shared" si="30"/>
        <v>0</v>
      </c>
      <c r="AE231" t="str">
        <f t="shared" si="31"/>
        <v/>
      </c>
      <c r="AF231" t="str">
        <f t="shared" si="32"/>
        <v/>
      </c>
      <c r="AG231">
        <f t="shared" si="33"/>
        <v>0</v>
      </c>
      <c r="AH231" t="str">
        <f t="shared" si="34"/>
        <v/>
      </c>
      <c r="AI231" t="str">
        <f t="shared" si="35"/>
        <v/>
      </c>
    </row>
    <row r="232" spans="1:35" x14ac:dyDescent="0.25">
      <c r="A232" s="23"/>
      <c r="B232" s="23"/>
      <c r="C232" s="23"/>
      <c r="D232" s="23"/>
      <c r="E232" s="23"/>
      <c r="F232" s="23"/>
      <c r="G232" s="23"/>
      <c r="H232" s="24"/>
      <c r="I232" s="24"/>
      <c r="J232" s="23"/>
      <c r="K232" s="25"/>
      <c r="L232" s="25"/>
      <c r="M232" s="26" t="str">
        <f t="shared" si="27"/>
        <v/>
      </c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3"/>
      <c r="AB232" t="str">
        <f t="shared" si="28"/>
        <v/>
      </c>
      <c r="AC232">
        <f t="shared" si="29"/>
        <v>0</v>
      </c>
      <c r="AD232">
        <f t="shared" si="30"/>
        <v>0</v>
      </c>
      <c r="AE232" t="str">
        <f t="shared" si="31"/>
        <v/>
      </c>
      <c r="AF232" t="str">
        <f t="shared" si="32"/>
        <v/>
      </c>
      <c r="AG232">
        <f t="shared" si="33"/>
        <v>0</v>
      </c>
      <c r="AH232" t="str">
        <f t="shared" si="34"/>
        <v/>
      </c>
      <c r="AI232" t="str">
        <f t="shared" si="35"/>
        <v/>
      </c>
    </row>
    <row r="233" spans="1:35" x14ac:dyDescent="0.25">
      <c r="A233" s="23"/>
      <c r="B233" s="23"/>
      <c r="C233" s="23"/>
      <c r="D233" s="23"/>
      <c r="E233" s="23"/>
      <c r="F233" s="23"/>
      <c r="G233" s="23"/>
      <c r="H233" s="24"/>
      <c r="I233" s="24"/>
      <c r="J233" s="23"/>
      <c r="K233" s="25"/>
      <c r="L233" s="25"/>
      <c r="M233" s="26" t="str">
        <f t="shared" si="27"/>
        <v/>
      </c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3"/>
      <c r="AB233" t="str">
        <f t="shared" si="28"/>
        <v/>
      </c>
      <c r="AC233">
        <f t="shared" si="29"/>
        <v>0</v>
      </c>
      <c r="AD233">
        <f t="shared" si="30"/>
        <v>0</v>
      </c>
      <c r="AE233" t="str">
        <f t="shared" si="31"/>
        <v/>
      </c>
      <c r="AF233" t="str">
        <f t="shared" si="32"/>
        <v/>
      </c>
      <c r="AG233">
        <f t="shared" si="33"/>
        <v>0</v>
      </c>
      <c r="AH233" t="str">
        <f t="shared" si="34"/>
        <v/>
      </c>
      <c r="AI233" t="str">
        <f t="shared" si="35"/>
        <v/>
      </c>
    </row>
    <row r="234" spans="1:35" x14ac:dyDescent="0.25">
      <c r="A234" s="23"/>
      <c r="B234" s="23"/>
      <c r="C234" s="23"/>
      <c r="D234" s="23"/>
      <c r="E234" s="23"/>
      <c r="F234" s="23"/>
      <c r="G234" s="23"/>
      <c r="H234" s="24"/>
      <c r="I234" s="24"/>
      <c r="J234" s="23"/>
      <c r="K234" s="25"/>
      <c r="L234" s="25"/>
      <c r="M234" s="26" t="str">
        <f t="shared" si="27"/>
        <v/>
      </c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3"/>
      <c r="AB234" t="str">
        <f t="shared" si="28"/>
        <v/>
      </c>
      <c r="AC234">
        <f t="shared" si="29"/>
        <v>0</v>
      </c>
      <c r="AD234">
        <f t="shared" si="30"/>
        <v>0</v>
      </c>
      <c r="AE234" t="str">
        <f t="shared" si="31"/>
        <v/>
      </c>
      <c r="AF234" t="str">
        <f t="shared" si="32"/>
        <v/>
      </c>
      <c r="AG234">
        <f t="shared" si="33"/>
        <v>0</v>
      </c>
      <c r="AH234" t="str">
        <f t="shared" si="34"/>
        <v/>
      </c>
      <c r="AI234" t="str">
        <f t="shared" si="35"/>
        <v/>
      </c>
    </row>
    <row r="235" spans="1:35" x14ac:dyDescent="0.25">
      <c r="A235" s="23"/>
      <c r="B235" s="23"/>
      <c r="C235" s="23"/>
      <c r="D235" s="23"/>
      <c r="E235" s="23"/>
      <c r="F235" s="23"/>
      <c r="G235" s="23"/>
      <c r="H235" s="24"/>
      <c r="I235" s="24"/>
      <c r="J235" s="23"/>
      <c r="K235" s="25"/>
      <c r="L235" s="25"/>
      <c r="M235" s="26" t="str">
        <f t="shared" si="27"/>
        <v/>
      </c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3"/>
      <c r="AB235" t="str">
        <f t="shared" si="28"/>
        <v/>
      </c>
      <c r="AC235">
        <f t="shared" si="29"/>
        <v>0</v>
      </c>
      <c r="AD235">
        <f t="shared" si="30"/>
        <v>0</v>
      </c>
      <c r="AE235" t="str">
        <f t="shared" si="31"/>
        <v/>
      </c>
      <c r="AF235" t="str">
        <f t="shared" si="32"/>
        <v/>
      </c>
      <c r="AG235">
        <f t="shared" si="33"/>
        <v>0</v>
      </c>
      <c r="AH235" t="str">
        <f t="shared" si="34"/>
        <v/>
      </c>
      <c r="AI235" t="str">
        <f t="shared" si="35"/>
        <v/>
      </c>
    </row>
    <row r="236" spans="1:35" x14ac:dyDescent="0.25">
      <c r="A236" s="23"/>
      <c r="B236" s="23"/>
      <c r="C236" s="23"/>
      <c r="D236" s="23"/>
      <c r="E236" s="23"/>
      <c r="F236" s="23"/>
      <c r="G236" s="23"/>
      <c r="H236" s="24"/>
      <c r="I236" s="24"/>
      <c r="J236" s="23"/>
      <c r="K236" s="25"/>
      <c r="L236" s="25"/>
      <c r="M236" s="26" t="str">
        <f t="shared" si="27"/>
        <v/>
      </c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3"/>
      <c r="AB236" t="str">
        <f t="shared" si="28"/>
        <v/>
      </c>
      <c r="AC236">
        <f t="shared" si="29"/>
        <v>0</v>
      </c>
      <c r="AD236">
        <f t="shared" si="30"/>
        <v>0</v>
      </c>
      <c r="AE236" t="str">
        <f t="shared" si="31"/>
        <v/>
      </c>
      <c r="AF236" t="str">
        <f t="shared" si="32"/>
        <v/>
      </c>
      <c r="AG236">
        <f t="shared" si="33"/>
        <v>0</v>
      </c>
      <c r="AH236" t="str">
        <f t="shared" si="34"/>
        <v/>
      </c>
      <c r="AI236" t="str">
        <f t="shared" si="35"/>
        <v/>
      </c>
    </row>
    <row r="237" spans="1:35" x14ac:dyDescent="0.25">
      <c r="A237" s="23"/>
      <c r="B237" s="23"/>
      <c r="C237" s="23"/>
      <c r="D237" s="23"/>
      <c r="E237" s="23"/>
      <c r="F237" s="23"/>
      <c r="G237" s="23"/>
      <c r="H237" s="24"/>
      <c r="I237" s="24"/>
      <c r="J237" s="23"/>
      <c r="K237" s="25"/>
      <c r="L237" s="25"/>
      <c r="M237" s="26" t="str">
        <f t="shared" si="27"/>
        <v/>
      </c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3"/>
      <c r="AB237" t="str">
        <f t="shared" si="28"/>
        <v/>
      </c>
      <c r="AC237">
        <f t="shared" si="29"/>
        <v>0</v>
      </c>
      <c r="AD237">
        <f t="shared" si="30"/>
        <v>0</v>
      </c>
      <c r="AE237" t="str">
        <f t="shared" si="31"/>
        <v/>
      </c>
      <c r="AF237" t="str">
        <f t="shared" si="32"/>
        <v/>
      </c>
      <c r="AG237">
        <f t="shared" si="33"/>
        <v>0</v>
      </c>
      <c r="AH237" t="str">
        <f t="shared" si="34"/>
        <v/>
      </c>
      <c r="AI237" t="str">
        <f t="shared" si="35"/>
        <v/>
      </c>
    </row>
    <row r="238" spans="1:35" x14ac:dyDescent="0.25">
      <c r="A238" s="23"/>
      <c r="B238" s="23"/>
      <c r="C238" s="23"/>
      <c r="D238" s="23"/>
      <c r="E238" s="23"/>
      <c r="F238" s="23"/>
      <c r="G238" s="23"/>
      <c r="H238" s="24"/>
      <c r="I238" s="24"/>
      <c r="J238" s="23"/>
      <c r="K238" s="25"/>
      <c r="L238" s="25"/>
      <c r="M238" s="26" t="str">
        <f t="shared" si="27"/>
        <v/>
      </c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3"/>
      <c r="AB238" t="str">
        <f t="shared" si="28"/>
        <v/>
      </c>
      <c r="AC238">
        <f t="shared" si="29"/>
        <v>0</v>
      </c>
      <c r="AD238">
        <f t="shared" si="30"/>
        <v>0</v>
      </c>
      <c r="AE238" t="str">
        <f t="shared" si="31"/>
        <v/>
      </c>
      <c r="AF238" t="str">
        <f t="shared" si="32"/>
        <v/>
      </c>
      <c r="AG238">
        <f t="shared" si="33"/>
        <v>0</v>
      </c>
      <c r="AH238" t="str">
        <f t="shared" si="34"/>
        <v/>
      </c>
      <c r="AI238" t="str">
        <f t="shared" si="35"/>
        <v/>
      </c>
    </row>
    <row r="239" spans="1:35" x14ac:dyDescent="0.25">
      <c r="A239" s="23"/>
      <c r="B239" s="23"/>
      <c r="C239" s="23"/>
      <c r="D239" s="23"/>
      <c r="E239" s="23"/>
      <c r="F239" s="23"/>
      <c r="G239" s="23"/>
      <c r="H239" s="24"/>
      <c r="I239" s="24"/>
      <c r="J239" s="23"/>
      <c r="K239" s="25"/>
      <c r="L239" s="25"/>
      <c r="M239" s="26" t="str">
        <f t="shared" si="27"/>
        <v/>
      </c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3"/>
      <c r="AB239" t="str">
        <f t="shared" si="28"/>
        <v/>
      </c>
      <c r="AC239">
        <f t="shared" si="29"/>
        <v>0</v>
      </c>
      <c r="AD239">
        <f t="shared" si="30"/>
        <v>0</v>
      </c>
      <c r="AE239" t="str">
        <f t="shared" si="31"/>
        <v/>
      </c>
      <c r="AF239" t="str">
        <f t="shared" si="32"/>
        <v/>
      </c>
      <c r="AG239">
        <f t="shared" si="33"/>
        <v>0</v>
      </c>
      <c r="AH239" t="str">
        <f t="shared" si="34"/>
        <v/>
      </c>
      <c r="AI239" t="str">
        <f t="shared" si="35"/>
        <v/>
      </c>
    </row>
    <row r="240" spans="1:35" x14ac:dyDescent="0.25">
      <c r="A240" s="23"/>
      <c r="B240" s="23"/>
      <c r="C240" s="23"/>
      <c r="D240" s="23"/>
      <c r="E240" s="23"/>
      <c r="F240" s="23"/>
      <c r="G240" s="23"/>
      <c r="H240" s="24"/>
      <c r="I240" s="24"/>
      <c r="J240" s="23"/>
      <c r="K240" s="25"/>
      <c r="L240" s="25"/>
      <c r="M240" s="26" t="str">
        <f t="shared" si="27"/>
        <v/>
      </c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3"/>
      <c r="AB240" t="str">
        <f t="shared" si="28"/>
        <v/>
      </c>
      <c r="AC240">
        <f t="shared" si="29"/>
        <v>0</v>
      </c>
      <c r="AD240">
        <f t="shared" si="30"/>
        <v>0</v>
      </c>
      <c r="AE240" t="str">
        <f t="shared" si="31"/>
        <v/>
      </c>
      <c r="AF240" t="str">
        <f t="shared" si="32"/>
        <v/>
      </c>
      <c r="AG240">
        <f t="shared" si="33"/>
        <v>0</v>
      </c>
      <c r="AH240" t="str">
        <f t="shared" si="34"/>
        <v/>
      </c>
      <c r="AI240" t="str">
        <f t="shared" si="35"/>
        <v/>
      </c>
    </row>
    <row r="241" spans="1:35" x14ac:dyDescent="0.25">
      <c r="A241" s="23"/>
      <c r="B241" s="23"/>
      <c r="C241" s="23"/>
      <c r="D241" s="23"/>
      <c r="E241" s="23"/>
      <c r="F241" s="23"/>
      <c r="G241" s="23"/>
      <c r="H241" s="24"/>
      <c r="I241" s="24"/>
      <c r="J241" s="23"/>
      <c r="K241" s="25"/>
      <c r="L241" s="25"/>
      <c r="M241" s="26" t="str">
        <f t="shared" si="27"/>
        <v/>
      </c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3"/>
      <c r="AB241" t="str">
        <f t="shared" si="28"/>
        <v/>
      </c>
      <c r="AC241">
        <f t="shared" si="29"/>
        <v>0</v>
      </c>
      <c r="AD241">
        <f t="shared" si="30"/>
        <v>0</v>
      </c>
      <c r="AE241" t="str">
        <f t="shared" si="31"/>
        <v/>
      </c>
      <c r="AF241" t="str">
        <f t="shared" si="32"/>
        <v/>
      </c>
      <c r="AG241">
        <f t="shared" si="33"/>
        <v>0</v>
      </c>
      <c r="AH241" t="str">
        <f t="shared" si="34"/>
        <v/>
      </c>
      <c r="AI241" t="str">
        <f t="shared" si="35"/>
        <v/>
      </c>
    </row>
    <row r="242" spans="1:35" x14ac:dyDescent="0.25">
      <c r="A242" s="23"/>
      <c r="B242" s="23"/>
      <c r="C242" s="23"/>
      <c r="D242" s="23"/>
      <c r="E242" s="23"/>
      <c r="F242" s="23"/>
      <c r="G242" s="23"/>
      <c r="H242" s="24"/>
      <c r="I242" s="24"/>
      <c r="J242" s="23"/>
      <c r="K242" s="25"/>
      <c r="L242" s="25"/>
      <c r="M242" s="26" t="str">
        <f t="shared" si="27"/>
        <v/>
      </c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3"/>
      <c r="AB242" t="str">
        <f t="shared" si="28"/>
        <v/>
      </c>
      <c r="AC242">
        <f t="shared" si="29"/>
        <v>0</v>
      </c>
      <c r="AD242">
        <f t="shared" si="30"/>
        <v>0</v>
      </c>
      <c r="AE242" t="str">
        <f t="shared" si="31"/>
        <v/>
      </c>
      <c r="AF242" t="str">
        <f t="shared" si="32"/>
        <v/>
      </c>
      <c r="AG242">
        <f t="shared" si="33"/>
        <v>0</v>
      </c>
      <c r="AH242" t="str">
        <f t="shared" si="34"/>
        <v/>
      </c>
      <c r="AI242" t="str">
        <f t="shared" si="35"/>
        <v/>
      </c>
    </row>
    <row r="243" spans="1:35" x14ac:dyDescent="0.25">
      <c r="A243" s="23"/>
      <c r="B243" s="23"/>
      <c r="C243" s="23"/>
      <c r="D243" s="23"/>
      <c r="E243" s="23"/>
      <c r="F243" s="23"/>
      <c r="G243" s="23"/>
      <c r="H243" s="24"/>
      <c r="I243" s="24"/>
      <c r="J243" s="23"/>
      <c r="K243" s="25"/>
      <c r="L243" s="25"/>
      <c r="M243" s="26" t="str">
        <f t="shared" si="27"/>
        <v/>
      </c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3"/>
      <c r="AB243" t="str">
        <f t="shared" si="28"/>
        <v/>
      </c>
      <c r="AC243">
        <f t="shared" si="29"/>
        <v>0</v>
      </c>
      <c r="AD243">
        <f t="shared" si="30"/>
        <v>0</v>
      </c>
      <c r="AE243" t="str">
        <f t="shared" si="31"/>
        <v/>
      </c>
      <c r="AF243" t="str">
        <f t="shared" si="32"/>
        <v/>
      </c>
      <c r="AG243">
        <f t="shared" si="33"/>
        <v>0</v>
      </c>
      <c r="AH243" t="str">
        <f t="shared" si="34"/>
        <v/>
      </c>
      <c r="AI243" t="str">
        <f t="shared" si="35"/>
        <v/>
      </c>
    </row>
    <row r="244" spans="1:35" x14ac:dyDescent="0.25">
      <c r="A244" s="23"/>
      <c r="B244" s="23"/>
      <c r="C244" s="23"/>
      <c r="D244" s="23"/>
      <c r="E244" s="23"/>
      <c r="F244" s="23"/>
      <c r="G244" s="23"/>
      <c r="H244" s="24"/>
      <c r="I244" s="24"/>
      <c r="J244" s="23"/>
      <c r="K244" s="25"/>
      <c r="L244" s="25"/>
      <c r="M244" s="26" t="str">
        <f t="shared" si="27"/>
        <v/>
      </c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3"/>
      <c r="AB244" t="str">
        <f t="shared" si="28"/>
        <v/>
      </c>
      <c r="AC244">
        <f t="shared" si="29"/>
        <v>0</v>
      </c>
      <c r="AD244">
        <f t="shared" si="30"/>
        <v>0</v>
      </c>
      <c r="AE244" t="str">
        <f t="shared" si="31"/>
        <v/>
      </c>
      <c r="AF244" t="str">
        <f t="shared" si="32"/>
        <v/>
      </c>
      <c r="AG244">
        <f t="shared" si="33"/>
        <v>0</v>
      </c>
      <c r="AH244" t="str">
        <f t="shared" si="34"/>
        <v/>
      </c>
      <c r="AI244" t="str">
        <f t="shared" si="35"/>
        <v/>
      </c>
    </row>
    <row r="245" spans="1:35" x14ac:dyDescent="0.25">
      <c r="A245" s="23"/>
      <c r="B245" s="23"/>
      <c r="C245" s="23"/>
      <c r="D245" s="23"/>
      <c r="E245" s="23"/>
      <c r="F245" s="23"/>
      <c r="G245" s="23"/>
      <c r="H245" s="24"/>
      <c r="I245" s="24"/>
      <c r="J245" s="23"/>
      <c r="K245" s="25"/>
      <c r="L245" s="25"/>
      <c r="M245" s="26" t="str">
        <f t="shared" si="27"/>
        <v/>
      </c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3"/>
      <c r="AB245" t="str">
        <f t="shared" si="28"/>
        <v/>
      </c>
      <c r="AC245">
        <f t="shared" si="29"/>
        <v>0</v>
      </c>
      <c r="AD245">
        <f t="shared" si="30"/>
        <v>0</v>
      </c>
      <c r="AE245" t="str">
        <f t="shared" si="31"/>
        <v/>
      </c>
      <c r="AF245" t="str">
        <f t="shared" si="32"/>
        <v/>
      </c>
      <c r="AG245">
        <f t="shared" si="33"/>
        <v>0</v>
      </c>
      <c r="AH245" t="str">
        <f t="shared" si="34"/>
        <v/>
      </c>
      <c r="AI245" t="str">
        <f t="shared" si="35"/>
        <v/>
      </c>
    </row>
    <row r="246" spans="1:35" x14ac:dyDescent="0.25">
      <c r="A246" s="23"/>
      <c r="B246" s="23"/>
      <c r="C246" s="23"/>
      <c r="D246" s="23"/>
      <c r="E246" s="23"/>
      <c r="F246" s="23"/>
      <c r="G246" s="23"/>
      <c r="H246" s="24"/>
      <c r="I246" s="24"/>
      <c r="J246" s="23"/>
      <c r="K246" s="25"/>
      <c r="L246" s="25"/>
      <c r="M246" s="26" t="str">
        <f t="shared" si="27"/>
        <v/>
      </c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3"/>
      <c r="AB246" t="str">
        <f t="shared" si="28"/>
        <v/>
      </c>
      <c r="AC246">
        <f t="shared" si="29"/>
        <v>0</v>
      </c>
      <c r="AD246">
        <f t="shared" si="30"/>
        <v>0</v>
      </c>
      <c r="AE246" t="str">
        <f t="shared" si="31"/>
        <v/>
      </c>
      <c r="AF246" t="str">
        <f t="shared" si="32"/>
        <v/>
      </c>
      <c r="AG246">
        <f t="shared" si="33"/>
        <v>0</v>
      </c>
      <c r="AH246" t="str">
        <f t="shared" si="34"/>
        <v/>
      </c>
      <c r="AI246" t="str">
        <f t="shared" si="35"/>
        <v/>
      </c>
    </row>
    <row r="247" spans="1:35" x14ac:dyDescent="0.25">
      <c r="A247" s="23"/>
      <c r="B247" s="23"/>
      <c r="C247" s="23"/>
      <c r="D247" s="23"/>
      <c r="E247" s="23"/>
      <c r="F247" s="23"/>
      <c r="G247" s="23"/>
      <c r="H247" s="24"/>
      <c r="I247" s="24"/>
      <c r="J247" s="23"/>
      <c r="K247" s="25"/>
      <c r="L247" s="25"/>
      <c r="M247" s="26" t="str">
        <f t="shared" si="27"/>
        <v/>
      </c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3"/>
      <c r="AB247" t="str">
        <f t="shared" si="28"/>
        <v/>
      </c>
      <c r="AC247">
        <f t="shared" si="29"/>
        <v>0</v>
      </c>
      <c r="AD247">
        <f t="shared" si="30"/>
        <v>0</v>
      </c>
      <c r="AE247" t="str">
        <f t="shared" si="31"/>
        <v/>
      </c>
      <c r="AF247" t="str">
        <f t="shared" si="32"/>
        <v/>
      </c>
      <c r="AG247">
        <f t="shared" si="33"/>
        <v>0</v>
      </c>
      <c r="AH247" t="str">
        <f t="shared" si="34"/>
        <v/>
      </c>
      <c r="AI247" t="str">
        <f t="shared" si="35"/>
        <v/>
      </c>
    </row>
    <row r="248" spans="1:35" x14ac:dyDescent="0.25">
      <c r="A248" s="23"/>
      <c r="B248" s="23"/>
      <c r="C248" s="23"/>
      <c r="D248" s="23"/>
      <c r="E248" s="23"/>
      <c r="F248" s="23"/>
      <c r="G248" s="23"/>
      <c r="H248" s="24"/>
      <c r="I248" s="24"/>
      <c r="J248" s="23"/>
      <c r="K248" s="25"/>
      <c r="L248" s="25"/>
      <c r="M248" s="26" t="str">
        <f t="shared" si="27"/>
        <v/>
      </c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3"/>
      <c r="AB248" t="str">
        <f t="shared" si="28"/>
        <v/>
      </c>
      <c r="AC248">
        <f t="shared" si="29"/>
        <v>0</v>
      </c>
      <c r="AD248">
        <f t="shared" si="30"/>
        <v>0</v>
      </c>
      <c r="AE248" t="str">
        <f t="shared" si="31"/>
        <v/>
      </c>
      <c r="AF248" t="str">
        <f t="shared" si="32"/>
        <v/>
      </c>
      <c r="AG248">
        <f t="shared" si="33"/>
        <v>0</v>
      </c>
      <c r="AH248" t="str">
        <f t="shared" si="34"/>
        <v/>
      </c>
      <c r="AI248" t="str">
        <f t="shared" si="35"/>
        <v/>
      </c>
    </row>
    <row r="249" spans="1:35" x14ac:dyDescent="0.25">
      <c r="A249" s="23"/>
      <c r="B249" s="23"/>
      <c r="C249" s="23"/>
      <c r="D249" s="23"/>
      <c r="E249" s="23"/>
      <c r="F249" s="23"/>
      <c r="G249" s="23"/>
      <c r="H249" s="24"/>
      <c r="I249" s="24"/>
      <c r="J249" s="23"/>
      <c r="K249" s="25"/>
      <c r="L249" s="25"/>
      <c r="M249" s="26" t="str">
        <f t="shared" si="27"/>
        <v/>
      </c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3"/>
      <c r="AB249" t="str">
        <f t="shared" si="28"/>
        <v/>
      </c>
      <c r="AC249">
        <f t="shared" si="29"/>
        <v>0</v>
      </c>
      <c r="AD249">
        <f t="shared" si="30"/>
        <v>0</v>
      </c>
      <c r="AE249" t="str">
        <f t="shared" si="31"/>
        <v/>
      </c>
      <c r="AF249" t="str">
        <f t="shared" si="32"/>
        <v/>
      </c>
      <c r="AG249">
        <f t="shared" si="33"/>
        <v>0</v>
      </c>
      <c r="AH249" t="str">
        <f t="shared" si="34"/>
        <v/>
      </c>
      <c r="AI249" t="str">
        <f t="shared" si="35"/>
        <v/>
      </c>
    </row>
    <row r="250" spans="1:35" x14ac:dyDescent="0.25">
      <c r="A250" s="23"/>
      <c r="B250" s="23"/>
      <c r="C250" s="23"/>
      <c r="D250" s="23"/>
      <c r="E250" s="23"/>
      <c r="F250" s="23"/>
      <c r="G250" s="23"/>
      <c r="H250" s="24"/>
      <c r="I250" s="24"/>
      <c r="J250" s="23"/>
      <c r="K250" s="25"/>
      <c r="L250" s="25"/>
      <c r="M250" s="26" t="str">
        <f t="shared" si="27"/>
        <v/>
      </c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3"/>
      <c r="AB250" t="str">
        <f t="shared" si="28"/>
        <v/>
      </c>
      <c r="AC250">
        <f t="shared" si="29"/>
        <v>0</v>
      </c>
      <c r="AD250">
        <f t="shared" si="30"/>
        <v>0</v>
      </c>
      <c r="AE250" t="str">
        <f t="shared" si="31"/>
        <v/>
      </c>
      <c r="AF250" t="str">
        <f t="shared" si="32"/>
        <v/>
      </c>
      <c r="AG250">
        <f t="shared" si="33"/>
        <v>0</v>
      </c>
      <c r="AH250" t="str">
        <f t="shared" si="34"/>
        <v/>
      </c>
      <c r="AI250" t="str">
        <f t="shared" si="35"/>
        <v/>
      </c>
    </row>
    <row r="251" spans="1:35" x14ac:dyDescent="0.25">
      <c r="A251" s="23"/>
      <c r="B251" s="23"/>
      <c r="C251" s="23"/>
      <c r="D251" s="23"/>
      <c r="E251" s="23"/>
      <c r="F251" s="23"/>
      <c r="G251" s="23"/>
      <c r="H251" s="24"/>
      <c r="I251" s="24"/>
      <c r="J251" s="23"/>
      <c r="K251" s="25"/>
      <c r="L251" s="25"/>
      <c r="M251" s="26" t="str">
        <f t="shared" si="27"/>
        <v/>
      </c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3"/>
      <c r="AB251" t="str">
        <f t="shared" si="28"/>
        <v/>
      </c>
      <c r="AC251">
        <f t="shared" si="29"/>
        <v>0</v>
      </c>
      <c r="AD251">
        <f t="shared" si="30"/>
        <v>0</v>
      </c>
      <c r="AE251" t="str">
        <f t="shared" si="31"/>
        <v/>
      </c>
      <c r="AF251" t="str">
        <f t="shared" si="32"/>
        <v/>
      </c>
      <c r="AG251">
        <f t="shared" si="33"/>
        <v>0</v>
      </c>
      <c r="AH251" t="str">
        <f t="shared" si="34"/>
        <v/>
      </c>
      <c r="AI251" t="str">
        <f t="shared" si="35"/>
        <v/>
      </c>
    </row>
    <row r="252" spans="1:35" x14ac:dyDescent="0.25">
      <c r="A252" s="23"/>
      <c r="B252" s="23"/>
      <c r="C252" s="23"/>
      <c r="D252" s="23"/>
      <c r="E252" s="23"/>
      <c r="F252" s="23"/>
      <c r="G252" s="23"/>
      <c r="H252" s="24"/>
      <c r="I252" s="24"/>
      <c r="J252" s="23"/>
      <c r="K252" s="25"/>
      <c r="L252" s="25"/>
      <c r="M252" s="26" t="str">
        <f t="shared" si="27"/>
        <v/>
      </c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3"/>
      <c r="AB252" t="str">
        <f t="shared" si="28"/>
        <v/>
      </c>
      <c r="AC252">
        <f t="shared" si="29"/>
        <v>0</v>
      </c>
      <c r="AD252">
        <f t="shared" si="30"/>
        <v>0</v>
      </c>
      <c r="AE252" t="str">
        <f t="shared" si="31"/>
        <v/>
      </c>
      <c r="AF252" t="str">
        <f t="shared" si="32"/>
        <v/>
      </c>
      <c r="AG252">
        <f t="shared" si="33"/>
        <v>0</v>
      </c>
      <c r="AH252" t="str">
        <f t="shared" si="34"/>
        <v/>
      </c>
      <c r="AI252" t="str">
        <f t="shared" si="35"/>
        <v/>
      </c>
    </row>
    <row r="253" spans="1:35" x14ac:dyDescent="0.25">
      <c r="A253" s="23"/>
      <c r="B253" s="23"/>
      <c r="C253" s="23"/>
      <c r="D253" s="23"/>
      <c r="E253" s="23"/>
      <c r="F253" s="23"/>
      <c r="G253" s="23"/>
      <c r="H253" s="24"/>
      <c r="I253" s="24"/>
      <c r="J253" s="23"/>
      <c r="K253" s="25"/>
      <c r="L253" s="25"/>
      <c r="M253" s="26" t="str">
        <f t="shared" si="27"/>
        <v/>
      </c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3"/>
      <c r="AB253" t="str">
        <f t="shared" si="28"/>
        <v/>
      </c>
      <c r="AC253">
        <f t="shared" si="29"/>
        <v>0</v>
      </c>
      <c r="AD253">
        <f t="shared" si="30"/>
        <v>0</v>
      </c>
      <c r="AE253" t="str">
        <f t="shared" si="31"/>
        <v/>
      </c>
      <c r="AF253" t="str">
        <f t="shared" si="32"/>
        <v/>
      </c>
      <c r="AG253">
        <f t="shared" si="33"/>
        <v>0</v>
      </c>
      <c r="AH253" t="str">
        <f t="shared" si="34"/>
        <v/>
      </c>
      <c r="AI253" t="str">
        <f t="shared" si="35"/>
        <v/>
      </c>
    </row>
    <row r="254" spans="1:35" x14ac:dyDescent="0.25">
      <c r="A254" s="23"/>
      <c r="B254" s="23"/>
      <c r="C254" s="23"/>
      <c r="D254" s="23"/>
      <c r="E254" s="23"/>
      <c r="F254" s="23"/>
      <c r="G254" s="23"/>
      <c r="H254" s="24"/>
      <c r="I254" s="24"/>
      <c r="J254" s="23"/>
      <c r="K254" s="25"/>
      <c r="L254" s="25"/>
      <c r="M254" s="26" t="str">
        <f t="shared" si="27"/>
        <v/>
      </c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3"/>
      <c r="AB254" t="str">
        <f t="shared" si="28"/>
        <v/>
      </c>
      <c r="AC254">
        <f t="shared" si="29"/>
        <v>0</v>
      </c>
      <c r="AD254">
        <f t="shared" si="30"/>
        <v>0</v>
      </c>
      <c r="AE254" t="str">
        <f t="shared" si="31"/>
        <v/>
      </c>
      <c r="AF254" t="str">
        <f t="shared" si="32"/>
        <v/>
      </c>
      <c r="AG254">
        <f t="shared" si="33"/>
        <v>0</v>
      </c>
      <c r="AH254" t="str">
        <f t="shared" si="34"/>
        <v/>
      </c>
      <c r="AI254" t="str">
        <f t="shared" si="35"/>
        <v/>
      </c>
    </row>
    <row r="255" spans="1:35" x14ac:dyDescent="0.25">
      <c r="A255" s="23"/>
      <c r="B255" s="23"/>
      <c r="C255" s="23"/>
      <c r="D255" s="23"/>
      <c r="E255" s="23"/>
      <c r="F255" s="23"/>
      <c r="G255" s="23"/>
      <c r="H255" s="24"/>
      <c r="I255" s="24"/>
      <c r="J255" s="23"/>
      <c r="K255" s="25"/>
      <c r="L255" s="25"/>
      <c r="M255" s="26" t="str">
        <f t="shared" si="27"/>
        <v/>
      </c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3"/>
      <c r="AB255" t="str">
        <f t="shared" si="28"/>
        <v/>
      </c>
      <c r="AC255">
        <f t="shared" si="29"/>
        <v>0</v>
      </c>
      <c r="AD255">
        <f t="shared" si="30"/>
        <v>0</v>
      </c>
      <c r="AE255" t="str">
        <f t="shared" si="31"/>
        <v/>
      </c>
      <c r="AF255" t="str">
        <f t="shared" si="32"/>
        <v/>
      </c>
      <c r="AG255">
        <f t="shared" si="33"/>
        <v>0</v>
      </c>
      <c r="AH255" t="str">
        <f t="shared" si="34"/>
        <v/>
      </c>
      <c r="AI255" t="str">
        <f t="shared" si="35"/>
        <v/>
      </c>
    </row>
    <row r="256" spans="1:35" x14ac:dyDescent="0.25">
      <c r="A256" s="23"/>
      <c r="B256" s="23"/>
      <c r="C256" s="23"/>
      <c r="D256" s="23"/>
      <c r="E256" s="23"/>
      <c r="F256" s="23"/>
      <c r="G256" s="23"/>
      <c r="H256" s="24"/>
      <c r="I256" s="24"/>
      <c r="J256" s="23"/>
      <c r="K256" s="25"/>
      <c r="L256" s="25"/>
      <c r="M256" s="26" t="str">
        <f t="shared" si="27"/>
        <v/>
      </c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3"/>
      <c r="AB256" t="str">
        <f t="shared" si="28"/>
        <v/>
      </c>
      <c r="AC256">
        <f t="shared" si="29"/>
        <v>0</v>
      </c>
      <c r="AD256">
        <f t="shared" si="30"/>
        <v>0</v>
      </c>
      <c r="AE256" t="str">
        <f t="shared" si="31"/>
        <v/>
      </c>
      <c r="AF256" t="str">
        <f t="shared" si="32"/>
        <v/>
      </c>
      <c r="AG256">
        <f t="shared" si="33"/>
        <v>0</v>
      </c>
      <c r="AH256" t="str">
        <f t="shared" si="34"/>
        <v/>
      </c>
      <c r="AI256" t="str">
        <f t="shared" si="35"/>
        <v/>
      </c>
    </row>
    <row r="257" spans="1:35" x14ac:dyDescent="0.25">
      <c r="A257" s="23"/>
      <c r="B257" s="23"/>
      <c r="C257" s="23"/>
      <c r="D257" s="23"/>
      <c r="E257" s="23"/>
      <c r="F257" s="23"/>
      <c r="G257" s="23"/>
      <c r="H257" s="24"/>
      <c r="I257" s="24"/>
      <c r="J257" s="23"/>
      <c r="K257" s="25"/>
      <c r="L257" s="25"/>
      <c r="M257" s="26" t="str">
        <f t="shared" si="27"/>
        <v/>
      </c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3"/>
      <c r="AB257" t="str">
        <f t="shared" si="28"/>
        <v/>
      </c>
      <c r="AC257">
        <f t="shared" si="29"/>
        <v>0</v>
      </c>
      <c r="AD257">
        <f t="shared" si="30"/>
        <v>0</v>
      </c>
      <c r="AE257" t="str">
        <f t="shared" si="31"/>
        <v/>
      </c>
      <c r="AF257" t="str">
        <f t="shared" si="32"/>
        <v/>
      </c>
      <c r="AG257">
        <f t="shared" si="33"/>
        <v>0</v>
      </c>
      <c r="AH257" t="str">
        <f t="shared" si="34"/>
        <v/>
      </c>
      <c r="AI257" t="str">
        <f t="shared" si="35"/>
        <v/>
      </c>
    </row>
    <row r="258" spans="1:35" x14ac:dyDescent="0.25">
      <c r="A258" s="23"/>
      <c r="B258" s="23"/>
      <c r="C258" s="23"/>
      <c r="D258" s="23"/>
      <c r="E258" s="23"/>
      <c r="F258" s="23"/>
      <c r="G258" s="23"/>
      <c r="H258" s="24"/>
      <c r="I258" s="24"/>
      <c r="J258" s="23"/>
      <c r="K258" s="25"/>
      <c r="L258" s="25"/>
      <c r="M258" s="26" t="str">
        <f t="shared" ref="M258:M301" si="36">IF(AB258="","",IF(AE258&lt;&gt;"","⚠ "&amp;AE258,"✔ "&amp;AI258&amp;IF(AG258&gt;0," · ⚠ "&amp;AG258&amp;IF(AG258=1," fecha cae"," fechas caen")&amp;" en festivo"&amp;IF(OR(AB258="Un día",AB258="Fechas específicas"),": revise la fecha",": se pasará al día hábil siguiente"),"")))</f>
        <v/>
      </c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3"/>
      <c r="AB258" t="str">
        <f t="shared" ref="AB258:AB301" si="37">IF(COUNTA(A258:L258,N258:Y258)=0,"",IF(OR(J258="En fechas específicas",AND(OR(J258="",J258="No"),K258="",COUNT(N258:Y258)&gt;0)),"Fechas específicas",IF(OR(J258="",J258="No"),IF(OR(L258="",L258=K258),"Un día","Varios días"),J258)))</f>
        <v/>
      </c>
      <c r="AC258">
        <f t="shared" ref="AC258:AC301" si="38">IF(AB258="Cada mes",1,IF(AB258="Cada 2 meses",2,IF(AB258="Cada 3 meses",3,IF(AB258="Cada 6 meses",6,0))))</f>
        <v>0</v>
      </c>
      <c r="AD258">
        <f t="shared" ref="AD258:AD301" si="39">IF(ISNUMBER(K258),INT((DAY(K258)-1)/7)+1,0)</f>
        <v>0</v>
      </c>
      <c r="AE258" t="str">
        <f t="shared" ref="AE258:AE301" si="40">IF(AB258="","",IF(A258="","Falta el nombre de la actividad",IF(B258="","Falta la categoría",IF(COUNTIF(Lista_Categoria,B258)=0,"Elija la categoría de la lista",IF(AND(F258="",SedePrincipal=""),"Falta la sede: elíjala aquí o en «1. Datos del área»",IF(AND(F258&lt;&gt;"",COUNTIF(Lista_Sede,F258)=0),"Elija la sede de la lista",IF(AND(E258="",CalendarioPrincipal=""),"Falta el calendario (Académico o Administrativo): elíjalo aquí o en «1. Datos del área»",IF(AND(E258&lt;&gt;"",COUNTIF(Lista_Calendario,E258)=0),"Elija el calendario de la lista",IF(G258="","Falta el lugar",IF(OR(AND(H258&lt;&gt;"",NOT(ISNUMBER(H258))),AND(I258&lt;&gt;"",NOT(ISNUMBER(I258)))),"Hora no válida: use hh:mm (ej. 14:30)",IF(AND(ISNUMBER(H258),ISNUMBER(I258),I258&lt;H258),"La hora fin es antes de la hora inicio",IF(AND(J258&lt;&gt;"",COUNTIF(Lista_Repite,J258)=0),"Elija una opción de la lista «¿Se repite?»",IF(AB258="Fechas específicas",IF(COUNTA(N258:Y258)&lt;&gt;COUNT(N258:Y258),"Alguna fecha de Fecha 1 a Fecha 12 no es válida: use dd/mm/aaaa",IF(COUNT(N258:Y258)=0,"Escriba las fechas en Fecha 1, Fecha 2…","")),IF(COUNTA(N258:Y258)&gt;0,"Escribió fechas en Fecha 1…12: elija «En fechas específicas» o bórrelas",IF(K258="","Falta la fecha en «Desde»",IF(NOT(ISNUMBER(K258)),"La fecha «Desde» no es válida: use dd/mm/aaaa",IF(AND(L258&lt;&gt;"",NOT(ISNUMBER(L258))),"La fecha «Hasta» no es válida: use dd/mm/aaaa",IF(AND(ISNUMBER(L258),L258&lt;K258),"«Hasta» es antes de «Desde»",IF(AND(AB258&lt;&gt;"Un día",AB258&lt;&gt;"Varios días",L258=""),"Falta «Hasta»: la última fecha en que se repite",IF(AND(ISNUMBER(L258),L258-K258&gt;730),"El periodo no puede pasar de 2 años",""))))))))))))))))))))</f>
        <v/>
      </c>
      <c r="AF258" t="str">
        <f t="shared" ref="AF258:AF301" si="41">IF(OR(AB258="",AE258&lt;&gt;""),"",IF(AB258="Fechas específicas",COUNT(N258:Y258),IF(OR(AB258="Un día",AB258="Varios días"),1,SUMPRODUCT((Dias&lt;=L258-K258)*((AB258="Cada semana")*(MOD(Dias,7)=0)+(AB258="Cada 15 días")*(MOD(Dias,14)=0)+(AC258&gt;0)*(WEEKDAY(K258+Dias)=WEEKDAY(K258))*((AD258=5)*(MONTH(K258+Dias+7)&lt;&gt;MONTH(K258+Dias))+(AD258&lt;5)*(INT((DAY(K258+Dias)-1)/7)+1=AD258))*(MOD((YEAR(K258+Dias)-YEAR(K258))*12+MONTH(K258+Dias)-MONTH(K258),MAX(AC258,1))=0))))))</f>
        <v/>
      </c>
      <c r="AG258">
        <f t="shared" ref="AG258:AG301" si="42">IF(AF258="",0,IF(AB258="Fechas específicas",SUMPRODUCT(COUNTIF(Festivos,N258:Y258)),IF(AB258="Un día",COUNTIF(Festivos,K258),IF(AB258="Varios días",0,SUMPRODUCT((Dias&lt;=L258-K258)*((AB258="Cada semana")*(MOD(Dias,7)=0)+(AB258="Cada 15 días")*(MOD(Dias,14)=0)+(AC258&gt;0)*(WEEKDAY(K258+Dias)=WEEKDAY(K258))*((AD258=5)*(MONTH(K258+Dias+7)&lt;&gt;MONTH(K258+Dias))+(AD258&lt;5)*(INT((DAY(K258+Dias)-1)/7)+1=AD258))*(MOD((YEAR(K258+Dias)-YEAR(K258))*12+MONTH(K258+Dias)-MONTH(K258),MAX(AC258,1))=0))*COUNTIF(Festivos,K258+Dias))))))</f>
        <v>0</v>
      </c>
      <c r="AH258" t="str">
        <f t="shared" ref="AH258:AH301" si="43">IF(AB258&lt;&gt;"Fechas específicas","",IF(ISNUMBER(N258),DAY(N258)&amp;" "&amp;CHOOSE(MONTH(N258),"ene","feb","mar","abr","may","jun","jul","ago","sep","oct","nov","dic")&amp;", ","")&amp;IF(ISNUMBER(O258),DAY(O258)&amp;" "&amp;CHOOSE(MONTH(O258),"ene","feb","mar","abr","may","jun","jul","ago","sep","oct","nov","dic")&amp;", ","")&amp;IF(ISNUMBER(P258),DAY(P258)&amp;" "&amp;CHOOSE(MONTH(P258),"ene","feb","mar","abr","may","jun","jul","ago","sep","oct","nov","dic")&amp;", ","")&amp;IF(ISNUMBER(Q258),DAY(Q258)&amp;" "&amp;CHOOSE(MONTH(Q258),"ene","feb","mar","abr","may","jun","jul","ago","sep","oct","nov","dic")&amp;", ","")&amp;IF(ISNUMBER(R258),DAY(R258)&amp;" "&amp;CHOOSE(MONTH(R258),"ene","feb","mar","abr","may","jun","jul","ago","sep","oct","nov","dic")&amp;", ","")&amp;IF(ISNUMBER(S258),DAY(S258)&amp;" "&amp;CHOOSE(MONTH(S258),"ene","feb","mar","abr","may","jun","jul","ago","sep","oct","nov","dic")&amp;", ","")&amp;IF(ISNUMBER(T258),DAY(T258)&amp;" "&amp;CHOOSE(MONTH(T258),"ene","feb","mar","abr","may","jun","jul","ago","sep","oct","nov","dic")&amp;", ","")&amp;IF(ISNUMBER(U258),DAY(U258)&amp;" "&amp;CHOOSE(MONTH(U258),"ene","feb","mar","abr","may","jun","jul","ago","sep","oct","nov","dic")&amp;", ","")&amp;IF(ISNUMBER(V258),DAY(V258)&amp;" "&amp;CHOOSE(MONTH(V258),"ene","feb","mar","abr","may","jun","jul","ago","sep","oct","nov","dic")&amp;", ","")&amp;IF(ISNUMBER(W258),DAY(W258)&amp;" "&amp;CHOOSE(MONTH(W258),"ene","feb","mar","abr","may","jun","jul","ago","sep","oct","nov","dic")&amp;", ","")&amp;IF(ISNUMBER(X258),DAY(X258)&amp;" "&amp;CHOOSE(MONTH(X258),"ene","feb","mar","abr","may","jun","jul","ago","sep","oct","nov","dic")&amp;", ","")&amp;IF(ISNUMBER(Y258),DAY(Y258)&amp;" "&amp;CHOOSE(MONTH(Y258),"ene","feb","mar","abr","may","jun","jul","ago","sep","oct","nov","dic")&amp;", ",""))</f>
        <v/>
      </c>
      <c r="AI258" t="str">
        <f t="shared" ref="AI258:AI301" si="44">IF(OR(AB258="",AE258&lt;&gt;""),"",IF(AB258="Un día","Un día: "&amp;CHOOSE(WEEKDAY(K258,2),"lunes","martes","miércoles","jueves","viernes","sábado","domingo")&amp;" "&amp;TEXT(DAY(K258),"00")&amp;"/"&amp;TEXT(MONTH(K258),"00")&amp;"/"&amp;YEAR(K258),IF(AB258="Varios días","Del "&amp;TEXT(DAY(K258),"00")&amp;"/"&amp;TEXT(MONTH(K258),"00")&amp;"/"&amp;YEAR(K258)&amp;" al "&amp;TEXT(DAY(L258),"00")&amp;"/"&amp;TEXT(MONTH(L258),"00")&amp;"/"&amp;YEAR(L258)&amp;" ("&amp;(L258-K258+1)&amp;" días)",IF(AB258="Fechas específicas",AF258&amp;IF(AF258=1," fecha: "," fechas: ")&amp;LEFT(AH258,LEN(AH258)-2),IF(AB258="Cada semana","Todos los "&amp;CHOOSE(WEEKDAY(K258,2),"lunes","martes","miércoles","jueves","viernes","sábados","domingos"),IF(AB258="Cada 15 días","Cada 15 días ("&amp;CHOOSE(WEEKDAY(K258,2),"lunes","martes","miércoles","jueves","viernes","sábados","domingos")&amp;" de por medio)",CHOOSE(AD258,"Primer","Segundo","Tercer","Cuarto","Último")&amp;" "&amp;CHOOSE(WEEKDAY(K258,2),"lunes","martes","miércoles","jueves","viernes","sábado","domingo")&amp;IF(AC258=1," de cada mes"," cada "&amp;AC258&amp;" meses")))&amp;", del "&amp;TEXT(DAY(K258),"00")&amp;"/"&amp;TEXT(MONTH(K258),"00")&amp;"/"&amp;YEAR(K258)&amp;" al "&amp;TEXT(DAY(L258),"00")&amp;"/"&amp;TEXT(MONTH(L258),"00")&amp;"/"&amp;YEAR(L258)&amp;" · "&amp;AF258&amp;IF(AF258=1," fecha"," fechas")))))</f>
        <v/>
      </c>
    </row>
    <row r="259" spans="1:35" x14ac:dyDescent="0.25">
      <c r="A259" s="23"/>
      <c r="B259" s="23"/>
      <c r="C259" s="23"/>
      <c r="D259" s="23"/>
      <c r="E259" s="23"/>
      <c r="F259" s="23"/>
      <c r="G259" s="23"/>
      <c r="H259" s="24"/>
      <c r="I259" s="24"/>
      <c r="J259" s="23"/>
      <c r="K259" s="25"/>
      <c r="L259" s="25"/>
      <c r="M259" s="26" t="str">
        <f t="shared" si="36"/>
        <v/>
      </c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3"/>
      <c r="AB259" t="str">
        <f t="shared" si="37"/>
        <v/>
      </c>
      <c r="AC259">
        <f t="shared" si="38"/>
        <v>0</v>
      </c>
      <c r="AD259">
        <f t="shared" si="39"/>
        <v>0</v>
      </c>
      <c r="AE259" t="str">
        <f t="shared" si="40"/>
        <v/>
      </c>
      <c r="AF259" t="str">
        <f t="shared" si="41"/>
        <v/>
      </c>
      <c r="AG259">
        <f t="shared" si="42"/>
        <v>0</v>
      </c>
      <c r="AH259" t="str">
        <f t="shared" si="43"/>
        <v/>
      </c>
      <c r="AI259" t="str">
        <f t="shared" si="44"/>
        <v/>
      </c>
    </row>
    <row r="260" spans="1:35" x14ac:dyDescent="0.25">
      <c r="A260" s="23"/>
      <c r="B260" s="23"/>
      <c r="C260" s="23"/>
      <c r="D260" s="23"/>
      <c r="E260" s="23"/>
      <c r="F260" s="23"/>
      <c r="G260" s="23"/>
      <c r="H260" s="24"/>
      <c r="I260" s="24"/>
      <c r="J260" s="23"/>
      <c r="K260" s="25"/>
      <c r="L260" s="25"/>
      <c r="M260" s="26" t="str">
        <f t="shared" si="36"/>
        <v/>
      </c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3"/>
      <c r="AB260" t="str">
        <f t="shared" si="37"/>
        <v/>
      </c>
      <c r="AC260">
        <f t="shared" si="38"/>
        <v>0</v>
      </c>
      <c r="AD260">
        <f t="shared" si="39"/>
        <v>0</v>
      </c>
      <c r="AE260" t="str">
        <f t="shared" si="40"/>
        <v/>
      </c>
      <c r="AF260" t="str">
        <f t="shared" si="41"/>
        <v/>
      </c>
      <c r="AG260">
        <f t="shared" si="42"/>
        <v>0</v>
      </c>
      <c r="AH260" t="str">
        <f t="shared" si="43"/>
        <v/>
      </c>
      <c r="AI260" t="str">
        <f t="shared" si="44"/>
        <v/>
      </c>
    </row>
    <row r="261" spans="1:35" x14ac:dyDescent="0.25">
      <c r="A261" s="23"/>
      <c r="B261" s="23"/>
      <c r="C261" s="23"/>
      <c r="D261" s="23"/>
      <c r="E261" s="23"/>
      <c r="F261" s="23"/>
      <c r="G261" s="23"/>
      <c r="H261" s="24"/>
      <c r="I261" s="24"/>
      <c r="J261" s="23"/>
      <c r="K261" s="25"/>
      <c r="L261" s="25"/>
      <c r="M261" s="26" t="str">
        <f t="shared" si="36"/>
        <v/>
      </c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3"/>
      <c r="AB261" t="str">
        <f t="shared" si="37"/>
        <v/>
      </c>
      <c r="AC261">
        <f t="shared" si="38"/>
        <v>0</v>
      </c>
      <c r="AD261">
        <f t="shared" si="39"/>
        <v>0</v>
      </c>
      <c r="AE261" t="str">
        <f t="shared" si="40"/>
        <v/>
      </c>
      <c r="AF261" t="str">
        <f t="shared" si="41"/>
        <v/>
      </c>
      <c r="AG261">
        <f t="shared" si="42"/>
        <v>0</v>
      </c>
      <c r="AH261" t="str">
        <f t="shared" si="43"/>
        <v/>
      </c>
      <c r="AI261" t="str">
        <f t="shared" si="44"/>
        <v/>
      </c>
    </row>
    <row r="262" spans="1:35" x14ac:dyDescent="0.25">
      <c r="A262" s="23"/>
      <c r="B262" s="23"/>
      <c r="C262" s="23"/>
      <c r="D262" s="23"/>
      <c r="E262" s="23"/>
      <c r="F262" s="23"/>
      <c r="G262" s="23"/>
      <c r="H262" s="24"/>
      <c r="I262" s="24"/>
      <c r="J262" s="23"/>
      <c r="K262" s="25"/>
      <c r="L262" s="25"/>
      <c r="M262" s="26" t="str">
        <f t="shared" si="36"/>
        <v/>
      </c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3"/>
      <c r="AB262" t="str">
        <f t="shared" si="37"/>
        <v/>
      </c>
      <c r="AC262">
        <f t="shared" si="38"/>
        <v>0</v>
      </c>
      <c r="AD262">
        <f t="shared" si="39"/>
        <v>0</v>
      </c>
      <c r="AE262" t="str">
        <f t="shared" si="40"/>
        <v/>
      </c>
      <c r="AF262" t="str">
        <f t="shared" si="41"/>
        <v/>
      </c>
      <c r="AG262">
        <f t="shared" si="42"/>
        <v>0</v>
      </c>
      <c r="AH262" t="str">
        <f t="shared" si="43"/>
        <v/>
      </c>
      <c r="AI262" t="str">
        <f t="shared" si="44"/>
        <v/>
      </c>
    </row>
    <row r="263" spans="1:35" x14ac:dyDescent="0.25">
      <c r="A263" s="23"/>
      <c r="B263" s="23"/>
      <c r="C263" s="23"/>
      <c r="D263" s="23"/>
      <c r="E263" s="23"/>
      <c r="F263" s="23"/>
      <c r="G263" s="23"/>
      <c r="H263" s="24"/>
      <c r="I263" s="24"/>
      <c r="J263" s="23"/>
      <c r="K263" s="25"/>
      <c r="L263" s="25"/>
      <c r="M263" s="26" t="str">
        <f t="shared" si="36"/>
        <v/>
      </c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3"/>
      <c r="AB263" t="str">
        <f t="shared" si="37"/>
        <v/>
      </c>
      <c r="AC263">
        <f t="shared" si="38"/>
        <v>0</v>
      </c>
      <c r="AD263">
        <f t="shared" si="39"/>
        <v>0</v>
      </c>
      <c r="AE263" t="str">
        <f t="shared" si="40"/>
        <v/>
      </c>
      <c r="AF263" t="str">
        <f t="shared" si="41"/>
        <v/>
      </c>
      <c r="AG263">
        <f t="shared" si="42"/>
        <v>0</v>
      </c>
      <c r="AH263" t="str">
        <f t="shared" si="43"/>
        <v/>
      </c>
      <c r="AI263" t="str">
        <f t="shared" si="44"/>
        <v/>
      </c>
    </row>
    <row r="264" spans="1:35" x14ac:dyDescent="0.25">
      <c r="A264" s="23"/>
      <c r="B264" s="23"/>
      <c r="C264" s="23"/>
      <c r="D264" s="23"/>
      <c r="E264" s="23"/>
      <c r="F264" s="23"/>
      <c r="G264" s="23"/>
      <c r="H264" s="24"/>
      <c r="I264" s="24"/>
      <c r="J264" s="23"/>
      <c r="K264" s="25"/>
      <c r="L264" s="25"/>
      <c r="M264" s="26" t="str">
        <f t="shared" si="36"/>
        <v/>
      </c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3"/>
      <c r="AB264" t="str">
        <f t="shared" si="37"/>
        <v/>
      </c>
      <c r="AC264">
        <f t="shared" si="38"/>
        <v>0</v>
      </c>
      <c r="AD264">
        <f t="shared" si="39"/>
        <v>0</v>
      </c>
      <c r="AE264" t="str">
        <f t="shared" si="40"/>
        <v/>
      </c>
      <c r="AF264" t="str">
        <f t="shared" si="41"/>
        <v/>
      </c>
      <c r="AG264">
        <f t="shared" si="42"/>
        <v>0</v>
      </c>
      <c r="AH264" t="str">
        <f t="shared" si="43"/>
        <v/>
      </c>
      <c r="AI264" t="str">
        <f t="shared" si="44"/>
        <v/>
      </c>
    </row>
    <row r="265" spans="1:35" x14ac:dyDescent="0.25">
      <c r="A265" s="23"/>
      <c r="B265" s="23"/>
      <c r="C265" s="23"/>
      <c r="D265" s="23"/>
      <c r="E265" s="23"/>
      <c r="F265" s="23"/>
      <c r="G265" s="23"/>
      <c r="H265" s="24"/>
      <c r="I265" s="24"/>
      <c r="J265" s="23"/>
      <c r="K265" s="25"/>
      <c r="L265" s="25"/>
      <c r="M265" s="26" t="str">
        <f t="shared" si="36"/>
        <v/>
      </c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3"/>
      <c r="AB265" t="str">
        <f t="shared" si="37"/>
        <v/>
      </c>
      <c r="AC265">
        <f t="shared" si="38"/>
        <v>0</v>
      </c>
      <c r="AD265">
        <f t="shared" si="39"/>
        <v>0</v>
      </c>
      <c r="AE265" t="str">
        <f t="shared" si="40"/>
        <v/>
      </c>
      <c r="AF265" t="str">
        <f t="shared" si="41"/>
        <v/>
      </c>
      <c r="AG265">
        <f t="shared" si="42"/>
        <v>0</v>
      </c>
      <c r="AH265" t="str">
        <f t="shared" si="43"/>
        <v/>
      </c>
      <c r="AI265" t="str">
        <f t="shared" si="44"/>
        <v/>
      </c>
    </row>
    <row r="266" spans="1:35" x14ac:dyDescent="0.25">
      <c r="A266" s="23"/>
      <c r="B266" s="23"/>
      <c r="C266" s="23"/>
      <c r="D266" s="23"/>
      <c r="E266" s="23"/>
      <c r="F266" s="23"/>
      <c r="G266" s="23"/>
      <c r="H266" s="24"/>
      <c r="I266" s="24"/>
      <c r="J266" s="23"/>
      <c r="K266" s="25"/>
      <c r="L266" s="25"/>
      <c r="M266" s="26" t="str">
        <f t="shared" si="36"/>
        <v/>
      </c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3"/>
      <c r="AB266" t="str">
        <f t="shared" si="37"/>
        <v/>
      </c>
      <c r="AC266">
        <f t="shared" si="38"/>
        <v>0</v>
      </c>
      <c r="AD266">
        <f t="shared" si="39"/>
        <v>0</v>
      </c>
      <c r="AE266" t="str">
        <f t="shared" si="40"/>
        <v/>
      </c>
      <c r="AF266" t="str">
        <f t="shared" si="41"/>
        <v/>
      </c>
      <c r="AG266">
        <f t="shared" si="42"/>
        <v>0</v>
      </c>
      <c r="AH266" t="str">
        <f t="shared" si="43"/>
        <v/>
      </c>
      <c r="AI266" t="str">
        <f t="shared" si="44"/>
        <v/>
      </c>
    </row>
    <row r="267" spans="1:35" x14ac:dyDescent="0.25">
      <c r="A267" s="23"/>
      <c r="B267" s="23"/>
      <c r="C267" s="23"/>
      <c r="D267" s="23"/>
      <c r="E267" s="23"/>
      <c r="F267" s="23"/>
      <c r="G267" s="23"/>
      <c r="H267" s="24"/>
      <c r="I267" s="24"/>
      <c r="J267" s="23"/>
      <c r="K267" s="25"/>
      <c r="L267" s="25"/>
      <c r="M267" s="26" t="str">
        <f t="shared" si="36"/>
        <v/>
      </c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3"/>
      <c r="AB267" t="str">
        <f t="shared" si="37"/>
        <v/>
      </c>
      <c r="AC267">
        <f t="shared" si="38"/>
        <v>0</v>
      </c>
      <c r="AD267">
        <f t="shared" si="39"/>
        <v>0</v>
      </c>
      <c r="AE267" t="str">
        <f t="shared" si="40"/>
        <v/>
      </c>
      <c r="AF267" t="str">
        <f t="shared" si="41"/>
        <v/>
      </c>
      <c r="AG267">
        <f t="shared" si="42"/>
        <v>0</v>
      </c>
      <c r="AH267" t="str">
        <f t="shared" si="43"/>
        <v/>
      </c>
      <c r="AI267" t="str">
        <f t="shared" si="44"/>
        <v/>
      </c>
    </row>
    <row r="268" spans="1:35" x14ac:dyDescent="0.25">
      <c r="A268" s="23"/>
      <c r="B268" s="23"/>
      <c r="C268" s="23"/>
      <c r="D268" s="23"/>
      <c r="E268" s="23"/>
      <c r="F268" s="23"/>
      <c r="G268" s="23"/>
      <c r="H268" s="24"/>
      <c r="I268" s="24"/>
      <c r="J268" s="23"/>
      <c r="K268" s="25"/>
      <c r="L268" s="25"/>
      <c r="M268" s="26" t="str">
        <f t="shared" si="36"/>
        <v/>
      </c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3"/>
      <c r="AB268" t="str">
        <f t="shared" si="37"/>
        <v/>
      </c>
      <c r="AC268">
        <f t="shared" si="38"/>
        <v>0</v>
      </c>
      <c r="AD268">
        <f t="shared" si="39"/>
        <v>0</v>
      </c>
      <c r="AE268" t="str">
        <f t="shared" si="40"/>
        <v/>
      </c>
      <c r="AF268" t="str">
        <f t="shared" si="41"/>
        <v/>
      </c>
      <c r="AG268">
        <f t="shared" si="42"/>
        <v>0</v>
      </c>
      <c r="AH268" t="str">
        <f t="shared" si="43"/>
        <v/>
      </c>
      <c r="AI268" t="str">
        <f t="shared" si="44"/>
        <v/>
      </c>
    </row>
    <row r="269" spans="1:35" x14ac:dyDescent="0.25">
      <c r="A269" s="23"/>
      <c r="B269" s="23"/>
      <c r="C269" s="23"/>
      <c r="D269" s="23"/>
      <c r="E269" s="23"/>
      <c r="F269" s="23"/>
      <c r="G269" s="23"/>
      <c r="H269" s="24"/>
      <c r="I269" s="24"/>
      <c r="J269" s="23"/>
      <c r="K269" s="25"/>
      <c r="L269" s="25"/>
      <c r="M269" s="26" t="str">
        <f t="shared" si="36"/>
        <v/>
      </c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3"/>
      <c r="AB269" t="str">
        <f t="shared" si="37"/>
        <v/>
      </c>
      <c r="AC269">
        <f t="shared" si="38"/>
        <v>0</v>
      </c>
      <c r="AD269">
        <f t="shared" si="39"/>
        <v>0</v>
      </c>
      <c r="AE269" t="str">
        <f t="shared" si="40"/>
        <v/>
      </c>
      <c r="AF269" t="str">
        <f t="shared" si="41"/>
        <v/>
      </c>
      <c r="AG269">
        <f t="shared" si="42"/>
        <v>0</v>
      </c>
      <c r="AH269" t="str">
        <f t="shared" si="43"/>
        <v/>
      </c>
      <c r="AI269" t="str">
        <f t="shared" si="44"/>
        <v/>
      </c>
    </row>
    <row r="270" spans="1:35" x14ac:dyDescent="0.25">
      <c r="A270" s="23"/>
      <c r="B270" s="23"/>
      <c r="C270" s="23"/>
      <c r="D270" s="23"/>
      <c r="E270" s="23"/>
      <c r="F270" s="23"/>
      <c r="G270" s="23"/>
      <c r="H270" s="24"/>
      <c r="I270" s="24"/>
      <c r="J270" s="23"/>
      <c r="K270" s="25"/>
      <c r="L270" s="25"/>
      <c r="M270" s="26" t="str">
        <f t="shared" si="36"/>
        <v/>
      </c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3"/>
      <c r="AB270" t="str">
        <f t="shared" si="37"/>
        <v/>
      </c>
      <c r="AC270">
        <f t="shared" si="38"/>
        <v>0</v>
      </c>
      <c r="AD270">
        <f t="shared" si="39"/>
        <v>0</v>
      </c>
      <c r="AE270" t="str">
        <f t="shared" si="40"/>
        <v/>
      </c>
      <c r="AF270" t="str">
        <f t="shared" si="41"/>
        <v/>
      </c>
      <c r="AG270">
        <f t="shared" si="42"/>
        <v>0</v>
      </c>
      <c r="AH270" t="str">
        <f t="shared" si="43"/>
        <v/>
      </c>
      <c r="AI270" t="str">
        <f t="shared" si="44"/>
        <v/>
      </c>
    </row>
    <row r="271" spans="1:35" x14ac:dyDescent="0.25">
      <c r="A271" s="23"/>
      <c r="B271" s="23"/>
      <c r="C271" s="23"/>
      <c r="D271" s="23"/>
      <c r="E271" s="23"/>
      <c r="F271" s="23"/>
      <c r="G271" s="23"/>
      <c r="H271" s="24"/>
      <c r="I271" s="24"/>
      <c r="J271" s="23"/>
      <c r="K271" s="25"/>
      <c r="L271" s="25"/>
      <c r="M271" s="26" t="str">
        <f t="shared" si="36"/>
        <v/>
      </c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3"/>
      <c r="AB271" t="str">
        <f t="shared" si="37"/>
        <v/>
      </c>
      <c r="AC271">
        <f t="shared" si="38"/>
        <v>0</v>
      </c>
      <c r="AD271">
        <f t="shared" si="39"/>
        <v>0</v>
      </c>
      <c r="AE271" t="str">
        <f t="shared" si="40"/>
        <v/>
      </c>
      <c r="AF271" t="str">
        <f t="shared" si="41"/>
        <v/>
      </c>
      <c r="AG271">
        <f t="shared" si="42"/>
        <v>0</v>
      </c>
      <c r="AH271" t="str">
        <f t="shared" si="43"/>
        <v/>
      </c>
      <c r="AI271" t="str">
        <f t="shared" si="44"/>
        <v/>
      </c>
    </row>
    <row r="272" spans="1:35" x14ac:dyDescent="0.25">
      <c r="A272" s="23"/>
      <c r="B272" s="23"/>
      <c r="C272" s="23"/>
      <c r="D272" s="23"/>
      <c r="E272" s="23"/>
      <c r="F272" s="23"/>
      <c r="G272" s="23"/>
      <c r="H272" s="24"/>
      <c r="I272" s="24"/>
      <c r="J272" s="23"/>
      <c r="K272" s="25"/>
      <c r="L272" s="25"/>
      <c r="M272" s="26" t="str">
        <f t="shared" si="36"/>
        <v/>
      </c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3"/>
      <c r="AB272" t="str">
        <f t="shared" si="37"/>
        <v/>
      </c>
      <c r="AC272">
        <f t="shared" si="38"/>
        <v>0</v>
      </c>
      <c r="AD272">
        <f t="shared" si="39"/>
        <v>0</v>
      </c>
      <c r="AE272" t="str">
        <f t="shared" si="40"/>
        <v/>
      </c>
      <c r="AF272" t="str">
        <f t="shared" si="41"/>
        <v/>
      </c>
      <c r="AG272">
        <f t="shared" si="42"/>
        <v>0</v>
      </c>
      <c r="AH272" t="str">
        <f t="shared" si="43"/>
        <v/>
      </c>
      <c r="AI272" t="str">
        <f t="shared" si="44"/>
        <v/>
      </c>
    </row>
    <row r="273" spans="1:35" x14ac:dyDescent="0.25">
      <c r="A273" s="23"/>
      <c r="B273" s="23"/>
      <c r="C273" s="23"/>
      <c r="D273" s="23"/>
      <c r="E273" s="23"/>
      <c r="F273" s="23"/>
      <c r="G273" s="23"/>
      <c r="H273" s="24"/>
      <c r="I273" s="24"/>
      <c r="J273" s="23"/>
      <c r="K273" s="25"/>
      <c r="L273" s="25"/>
      <c r="M273" s="26" t="str">
        <f t="shared" si="36"/>
        <v/>
      </c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3"/>
      <c r="AB273" t="str">
        <f t="shared" si="37"/>
        <v/>
      </c>
      <c r="AC273">
        <f t="shared" si="38"/>
        <v>0</v>
      </c>
      <c r="AD273">
        <f t="shared" si="39"/>
        <v>0</v>
      </c>
      <c r="AE273" t="str">
        <f t="shared" si="40"/>
        <v/>
      </c>
      <c r="AF273" t="str">
        <f t="shared" si="41"/>
        <v/>
      </c>
      <c r="AG273">
        <f t="shared" si="42"/>
        <v>0</v>
      </c>
      <c r="AH273" t="str">
        <f t="shared" si="43"/>
        <v/>
      </c>
      <c r="AI273" t="str">
        <f t="shared" si="44"/>
        <v/>
      </c>
    </row>
    <row r="274" spans="1:35" x14ac:dyDescent="0.25">
      <c r="A274" s="23"/>
      <c r="B274" s="23"/>
      <c r="C274" s="23"/>
      <c r="D274" s="23"/>
      <c r="E274" s="23"/>
      <c r="F274" s="23"/>
      <c r="G274" s="23"/>
      <c r="H274" s="24"/>
      <c r="I274" s="24"/>
      <c r="J274" s="23"/>
      <c r="K274" s="25"/>
      <c r="L274" s="25"/>
      <c r="M274" s="26" t="str">
        <f t="shared" si="36"/>
        <v/>
      </c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3"/>
      <c r="AB274" t="str">
        <f t="shared" si="37"/>
        <v/>
      </c>
      <c r="AC274">
        <f t="shared" si="38"/>
        <v>0</v>
      </c>
      <c r="AD274">
        <f t="shared" si="39"/>
        <v>0</v>
      </c>
      <c r="AE274" t="str">
        <f t="shared" si="40"/>
        <v/>
      </c>
      <c r="AF274" t="str">
        <f t="shared" si="41"/>
        <v/>
      </c>
      <c r="AG274">
        <f t="shared" si="42"/>
        <v>0</v>
      </c>
      <c r="AH274" t="str">
        <f t="shared" si="43"/>
        <v/>
      </c>
      <c r="AI274" t="str">
        <f t="shared" si="44"/>
        <v/>
      </c>
    </row>
    <row r="275" spans="1:35" x14ac:dyDescent="0.25">
      <c r="A275" s="23"/>
      <c r="B275" s="23"/>
      <c r="C275" s="23"/>
      <c r="D275" s="23"/>
      <c r="E275" s="23"/>
      <c r="F275" s="23"/>
      <c r="G275" s="23"/>
      <c r="H275" s="24"/>
      <c r="I275" s="24"/>
      <c r="J275" s="23"/>
      <c r="K275" s="25"/>
      <c r="L275" s="25"/>
      <c r="M275" s="26" t="str">
        <f t="shared" si="36"/>
        <v/>
      </c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3"/>
      <c r="AB275" t="str">
        <f t="shared" si="37"/>
        <v/>
      </c>
      <c r="AC275">
        <f t="shared" si="38"/>
        <v>0</v>
      </c>
      <c r="AD275">
        <f t="shared" si="39"/>
        <v>0</v>
      </c>
      <c r="AE275" t="str">
        <f t="shared" si="40"/>
        <v/>
      </c>
      <c r="AF275" t="str">
        <f t="shared" si="41"/>
        <v/>
      </c>
      <c r="AG275">
        <f t="shared" si="42"/>
        <v>0</v>
      </c>
      <c r="AH275" t="str">
        <f t="shared" si="43"/>
        <v/>
      </c>
      <c r="AI275" t="str">
        <f t="shared" si="44"/>
        <v/>
      </c>
    </row>
    <row r="276" spans="1:35" x14ac:dyDescent="0.25">
      <c r="A276" s="23"/>
      <c r="B276" s="23"/>
      <c r="C276" s="23"/>
      <c r="D276" s="23"/>
      <c r="E276" s="23"/>
      <c r="F276" s="23"/>
      <c r="G276" s="23"/>
      <c r="H276" s="24"/>
      <c r="I276" s="24"/>
      <c r="J276" s="23"/>
      <c r="K276" s="25"/>
      <c r="L276" s="25"/>
      <c r="M276" s="26" t="str">
        <f t="shared" si="36"/>
        <v/>
      </c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3"/>
      <c r="AB276" t="str">
        <f t="shared" si="37"/>
        <v/>
      </c>
      <c r="AC276">
        <f t="shared" si="38"/>
        <v>0</v>
      </c>
      <c r="AD276">
        <f t="shared" si="39"/>
        <v>0</v>
      </c>
      <c r="AE276" t="str">
        <f t="shared" si="40"/>
        <v/>
      </c>
      <c r="AF276" t="str">
        <f t="shared" si="41"/>
        <v/>
      </c>
      <c r="AG276">
        <f t="shared" si="42"/>
        <v>0</v>
      </c>
      <c r="AH276" t="str">
        <f t="shared" si="43"/>
        <v/>
      </c>
      <c r="AI276" t="str">
        <f t="shared" si="44"/>
        <v/>
      </c>
    </row>
    <row r="277" spans="1:35" x14ac:dyDescent="0.25">
      <c r="A277" s="23"/>
      <c r="B277" s="23"/>
      <c r="C277" s="23"/>
      <c r="D277" s="23"/>
      <c r="E277" s="23"/>
      <c r="F277" s="23"/>
      <c r="G277" s="23"/>
      <c r="H277" s="24"/>
      <c r="I277" s="24"/>
      <c r="J277" s="23"/>
      <c r="K277" s="25"/>
      <c r="L277" s="25"/>
      <c r="M277" s="26" t="str">
        <f t="shared" si="36"/>
        <v/>
      </c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3"/>
      <c r="AB277" t="str">
        <f t="shared" si="37"/>
        <v/>
      </c>
      <c r="AC277">
        <f t="shared" si="38"/>
        <v>0</v>
      </c>
      <c r="AD277">
        <f t="shared" si="39"/>
        <v>0</v>
      </c>
      <c r="AE277" t="str">
        <f t="shared" si="40"/>
        <v/>
      </c>
      <c r="AF277" t="str">
        <f t="shared" si="41"/>
        <v/>
      </c>
      <c r="AG277">
        <f t="shared" si="42"/>
        <v>0</v>
      </c>
      <c r="AH277" t="str">
        <f t="shared" si="43"/>
        <v/>
      </c>
      <c r="AI277" t="str">
        <f t="shared" si="44"/>
        <v/>
      </c>
    </row>
    <row r="278" spans="1:35" x14ac:dyDescent="0.25">
      <c r="A278" s="23"/>
      <c r="B278" s="23"/>
      <c r="C278" s="23"/>
      <c r="D278" s="23"/>
      <c r="E278" s="23"/>
      <c r="F278" s="23"/>
      <c r="G278" s="23"/>
      <c r="H278" s="24"/>
      <c r="I278" s="24"/>
      <c r="J278" s="23"/>
      <c r="K278" s="25"/>
      <c r="L278" s="25"/>
      <c r="M278" s="26" t="str">
        <f t="shared" si="36"/>
        <v/>
      </c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3"/>
      <c r="AB278" t="str">
        <f t="shared" si="37"/>
        <v/>
      </c>
      <c r="AC278">
        <f t="shared" si="38"/>
        <v>0</v>
      </c>
      <c r="AD278">
        <f t="shared" si="39"/>
        <v>0</v>
      </c>
      <c r="AE278" t="str">
        <f t="shared" si="40"/>
        <v/>
      </c>
      <c r="AF278" t="str">
        <f t="shared" si="41"/>
        <v/>
      </c>
      <c r="AG278">
        <f t="shared" si="42"/>
        <v>0</v>
      </c>
      <c r="AH278" t="str">
        <f t="shared" si="43"/>
        <v/>
      </c>
      <c r="AI278" t="str">
        <f t="shared" si="44"/>
        <v/>
      </c>
    </row>
    <row r="279" spans="1:35" x14ac:dyDescent="0.25">
      <c r="A279" s="23"/>
      <c r="B279" s="23"/>
      <c r="C279" s="23"/>
      <c r="D279" s="23"/>
      <c r="E279" s="23"/>
      <c r="F279" s="23"/>
      <c r="G279" s="23"/>
      <c r="H279" s="24"/>
      <c r="I279" s="24"/>
      <c r="J279" s="23"/>
      <c r="K279" s="25"/>
      <c r="L279" s="25"/>
      <c r="M279" s="26" t="str">
        <f t="shared" si="36"/>
        <v/>
      </c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3"/>
      <c r="AB279" t="str">
        <f t="shared" si="37"/>
        <v/>
      </c>
      <c r="AC279">
        <f t="shared" si="38"/>
        <v>0</v>
      </c>
      <c r="AD279">
        <f t="shared" si="39"/>
        <v>0</v>
      </c>
      <c r="AE279" t="str">
        <f t="shared" si="40"/>
        <v/>
      </c>
      <c r="AF279" t="str">
        <f t="shared" si="41"/>
        <v/>
      </c>
      <c r="AG279">
        <f t="shared" si="42"/>
        <v>0</v>
      </c>
      <c r="AH279" t="str">
        <f t="shared" si="43"/>
        <v/>
      </c>
      <c r="AI279" t="str">
        <f t="shared" si="44"/>
        <v/>
      </c>
    </row>
    <row r="280" spans="1:35" x14ac:dyDescent="0.25">
      <c r="A280" s="23"/>
      <c r="B280" s="23"/>
      <c r="C280" s="23"/>
      <c r="D280" s="23"/>
      <c r="E280" s="23"/>
      <c r="F280" s="23"/>
      <c r="G280" s="23"/>
      <c r="H280" s="24"/>
      <c r="I280" s="24"/>
      <c r="J280" s="23"/>
      <c r="K280" s="25"/>
      <c r="L280" s="25"/>
      <c r="M280" s="26" t="str">
        <f t="shared" si="36"/>
        <v/>
      </c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3"/>
      <c r="AB280" t="str">
        <f t="shared" si="37"/>
        <v/>
      </c>
      <c r="AC280">
        <f t="shared" si="38"/>
        <v>0</v>
      </c>
      <c r="AD280">
        <f t="shared" si="39"/>
        <v>0</v>
      </c>
      <c r="AE280" t="str">
        <f t="shared" si="40"/>
        <v/>
      </c>
      <c r="AF280" t="str">
        <f t="shared" si="41"/>
        <v/>
      </c>
      <c r="AG280">
        <f t="shared" si="42"/>
        <v>0</v>
      </c>
      <c r="AH280" t="str">
        <f t="shared" si="43"/>
        <v/>
      </c>
      <c r="AI280" t="str">
        <f t="shared" si="44"/>
        <v/>
      </c>
    </row>
    <row r="281" spans="1:35" x14ac:dyDescent="0.25">
      <c r="A281" s="23"/>
      <c r="B281" s="23"/>
      <c r="C281" s="23"/>
      <c r="D281" s="23"/>
      <c r="E281" s="23"/>
      <c r="F281" s="23"/>
      <c r="G281" s="23"/>
      <c r="H281" s="24"/>
      <c r="I281" s="24"/>
      <c r="J281" s="23"/>
      <c r="K281" s="25"/>
      <c r="L281" s="25"/>
      <c r="M281" s="26" t="str">
        <f t="shared" si="36"/>
        <v/>
      </c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3"/>
      <c r="AB281" t="str">
        <f t="shared" si="37"/>
        <v/>
      </c>
      <c r="AC281">
        <f t="shared" si="38"/>
        <v>0</v>
      </c>
      <c r="AD281">
        <f t="shared" si="39"/>
        <v>0</v>
      </c>
      <c r="AE281" t="str">
        <f t="shared" si="40"/>
        <v/>
      </c>
      <c r="AF281" t="str">
        <f t="shared" si="41"/>
        <v/>
      </c>
      <c r="AG281">
        <f t="shared" si="42"/>
        <v>0</v>
      </c>
      <c r="AH281" t="str">
        <f t="shared" si="43"/>
        <v/>
      </c>
      <c r="AI281" t="str">
        <f t="shared" si="44"/>
        <v/>
      </c>
    </row>
    <row r="282" spans="1:35" x14ac:dyDescent="0.25">
      <c r="A282" s="23"/>
      <c r="B282" s="23"/>
      <c r="C282" s="23"/>
      <c r="D282" s="23"/>
      <c r="E282" s="23"/>
      <c r="F282" s="23"/>
      <c r="G282" s="23"/>
      <c r="H282" s="24"/>
      <c r="I282" s="24"/>
      <c r="J282" s="23"/>
      <c r="K282" s="25"/>
      <c r="L282" s="25"/>
      <c r="M282" s="26" t="str">
        <f t="shared" si="36"/>
        <v/>
      </c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3"/>
      <c r="AB282" t="str">
        <f t="shared" si="37"/>
        <v/>
      </c>
      <c r="AC282">
        <f t="shared" si="38"/>
        <v>0</v>
      </c>
      <c r="AD282">
        <f t="shared" si="39"/>
        <v>0</v>
      </c>
      <c r="AE282" t="str">
        <f t="shared" si="40"/>
        <v/>
      </c>
      <c r="AF282" t="str">
        <f t="shared" si="41"/>
        <v/>
      </c>
      <c r="AG282">
        <f t="shared" si="42"/>
        <v>0</v>
      </c>
      <c r="AH282" t="str">
        <f t="shared" si="43"/>
        <v/>
      </c>
      <c r="AI282" t="str">
        <f t="shared" si="44"/>
        <v/>
      </c>
    </row>
    <row r="283" spans="1:35" x14ac:dyDescent="0.25">
      <c r="A283" s="23"/>
      <c r="B283" s="23"/>
      <c r="C283" s="23"/>
      <c r="D283" s="23"/>
      <c r="E283" s="23"/>
      <c r="F283" s="23"/>
      <c r="G283" s="23"/>
      <c r="H283" s="24"/>
      <c r="I283" s="24"/>
      <c r="J283" s="23"/>
      <c r="K283" s="25"/>
      <c r="L283" s="25"/>
      <c r="M283" s="26" t="str">
        <f t="shared" si="36"/>
        <v/>
      </c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3"/>
      <c r="AB283" t="str">
        <f t="shared" si="37"/>
        <v/>
      </c>
      <c r="AC283">
        <f t="shared" si="38"/>
        <v>0</v>
      </c>
      <c r="AD283">
        <f t="shared" si="39"/>
        <v>0</v>
      </c>
      <c r="AE283" t="str">
        <f t="shared" si="40"/>
        <v/>
      </c>
      <c r="AF283" t="str">
        <f t="shared" si="41"/>
        <v/>
      </c>
      <c r="AG283">
        <f t="shared" si="42"/>
        <v>0</v>
      </c>
      <c r="AH283" t="str">
        <f t="shared" si="43"/>
        <v/>
      </c>
      <c r="AI283" t="str">
        <f t="shared" si="44"/>
        <v/>
      </c>
    </row>
    <row r="284" spans="1:35" x14ac:dyDescent="0.25">
      <c r="A284" s="23"/>
      <c r="B284" s="23"/>
      <c r="C284" s="23"/>
      <c r="D284" s="23"/>
      <c r="E284" s="23"/>
      <c r="F284" s="23"/>
      <c r="G284" s="23"/>
      <c r="H284" s="24"/>
      <c r="I284" s="24"/>
      <c r="J284" s="23"/>
      <c r="K284" s="25"/>
      <c r="L284" s="25"/>
      <c r="M284" s="26" t="str">
        <f t="shared" si="36"/>
        <v/>
      </c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3"/>
      <c r="AB284" t="str">
        <f t="shared" si="37"/>
        <v/>
      </c>
      <c r="AC284">
        <f t="shared" si="38"/>
        <v>0</v>
      </c>
      <c r="AD284">
        <f t="shared" si="39"/>
        <v>0</v>
      </c>
      <c r="AE284" t="str">
        <f t="shared" si="40"/>
        <v/>
      </c>
      <c r="AF284" t="str">
        <f t="shared" si="41"/>
        <v/>
      </c>
      <c r="AG284">
        <f t="shared" si="42"/>
        <v>0</v>
      </c>
      <c r="AH284" t="str">
        <f t="shared" si="43"/>
        <v/>
      </c>
      <c r="AI284" t="str">
        <f t="shared" si="44"/>
        <v/>
      </c>
    </row>
    <row r="285" spans="1:35" x14ac:dyDescent="0.25">
      <c r="A285" s="23"/>
      <c r="B285" s="23"/>
      <c r="C285" s="23"/>
      <c r="D285" s="23"/>
      <c r="E285" s="23"/>
      <c r="F285" s="23"/>
      <c r="G285" s="23"/>
      <c r="H285" s="24"/>
      <c r="I285" s="24"/>
      <c r="J285" s="23"/>
      <c r="K285" s="25"/>
      <c r="L285" s="25"/>
      <c r="M285" s="26" t="str">
        <f t="shared" si="36"/>
        <v/>
      </c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3"/>
      <c r="AB285" t="str">
        <f t="shared" si="37"/>
        <v/>
      </c>
      <c r="AC285">
        <f t="shared" si="38"/>
        <v>0</v>
      </c>
      <c r="AD285">
        <f t="shared" si="39"/>
        <v>0</v>
      </c>
      <c r="AE285" t="str">
        <f t="shared" si="40"/>
        <v/>
      </c>
      <c r="AF285" t="str">
        <f t="shared" si="41"/>
        <v/>
      </c>
      <c r="AG285">
        <f t="shared" si="42"/>
        <v>0</v>
      </c>
      <c r="AH285" t="str">
        <f t="shared" si="43"/>
        <v/>
      </c>
      <c r="AI285" t="str">
        <f t="shared" si="44"/>
        <v/>
      </c>
    </row>
    <row r="286" spans="1:35" x14ac:dyDescent="0.25">
      <c r="A286" s="23"/>
      <c r="B286" s="23"/>
      <c r="C286" s="23"/>
      <c r="D286" s="23"/>
      <c r="E286" s="23"/>
      <c r="F286" s="23"/>
      <c r="G286" s="23"/>
      <c r="H286" s="24"/>
      <c r="I286" s="24"/>
      <c r="J286" s="23"/>
      <c r="K286" s="25"/>
      <c r="L286" s="25"/>
      <c r="M286" s="26" t="str">
        <f t="shared" si="36"/>
        <v/>
      </c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3"/>
      <c r="AB286" t="str">
        <f t="shared" si="37"/>
        <v/>
      </c>
      <c r="AC286">
        <f t="shared" si="38"/>
        <v>0</v>
      </c>
      <c r="AD286">
        <f t="shared" si="39"/>
        <v>0</v>
      </c>
      <c r="AE286" t="str">
        <f t="shared" si="40"/>
        <v/>
      </c>
      <c r="AF286" t="str">
        <f t="shared" si="41"/>
        <v/>
      </c>
      <c r="AG286">
        <f t="shared" si="42"/>
        <v>0</v>
      </c>
      <c r="AH286" t="str">
        <f t="shared" si="43"/>
        <v/>
      </c>
      <c r="AI286" t="str">
        <f t="shared" si="44"/>
        <v/>
      </c>
    </row>
    <row r="287" spans="1:35" x14ac:dyDescent="0.25">
      <c r="A287" s="23"/>
      <c r="B287" s="23"/>
      <c r="C287" s="23"/>
      <c r="D287" s="23"/>
      <c r="E287" s="23"/>
      <c r="F287" s="23"/>
      <c r="G287" s="23"/>
      <c r="H287" s="24"/>
      <c r="I287" s="24"/>
      <c r="J287" s="23"/>
      <c r="K287" s="25"/>
      <c r="L287" s="25"/>
      <c r="M287" s="26" t="str">
        <f t="shared" si="36"/>
        <v/>
      </c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3"/>
      <c r="AB287" t="str">
        <f t="shared" si="37"/>
        <v/>
      </c>
      <c r="AC287">
        <f t="shared" si="38"/>
        <v>0</v>
      </c>
      <c r="AD287">
        <f t="shared" si="39"/>
        <v>0</v>
      </c>
      <c r="AE287" t="str">
        <f t="shared" si="40"/>
        <v/>
      </c>
      <c r="AF287" t="str">
        <f t="shared" si="41"/>
        <v/>
      </c>
      <c r="AG287">
        <f t="shared" si="42"/>
        <v>0</v>
      </c>
      <c r="AH287" t="str">
        <f t="shared" si="43"/>
        <v/>
      </c>
      <c r="AI287" t="str">
        <f t="shared" si="44"/>
        <v/>
      </c>
    </row>
    <row r="288" spans="1:35" x14ac:dyDescent="0.25">
      <c r="A288" s="23"/>
      <c r="B288" s="23"/>
      <c r="C288" s="23"/>
      <c r="D288" s="23"/>
      <c r="E288" s="23"/>
      <c r="F288" s="23"/>
      <c r="G288" s="23"/>
      <c r="H288" s="24"/>
      <c r="I288" s="24"/>
      <c r="J288" s="23"/>
      <c r="K288" s="25"/>
      <c r="L288" s="25"/>
      <c r="M288" s="26" t="str">
        <f t="shared" si="36"/>
        <v/>
      </c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3"/>
      <c r="AB288" t="str">
        <f t="shared" si="37"/>
        <v/>
      </c>
      <c r="AC288">
        <f t="shared" si="38"/>
        <v>0</v>
      </c>
      <c r="AD288">
        <f t="shared" si="39"/>
        <v>0</v>
      </c>
      <c r="AE288" t="str">
        <f t="shared" si="40"/>
        <v/>
      </c>
      <c r="AF288" t="str">
        <f t="shared" si="41"/>
        <v/>
      </c>
      <c r="AG288">
        <f t="shared" si="42"/>
        <v>0</v>
      </c>
      <c r="AH288" t="str">
        <f t="shared" si="43"/>
        <v/>
      </c>
      <c r="AI288" t="str">
        <f t="shared" si="44"/>
        <v/>
      </c>
    </row>
    <row r="289" spans="1:35" x14ac:dyDescent="0.25">
      <c r="A289" s="23"/>
      <c r="B289" s="23"/>
      <c r="C289" s="23"/>
      <c r="D289" s="23"/>
      <c r="E289" s="23"/>
      <c r="F289" s="23"/>
      <c r="G289" s="23"/>
      <c r="H289" s="24"/>
      <c r="I289" s="24"/>
      <c r="J289" s="23"/>
      <c r="K289" s="25"/>
      <c r="L289" s="25"/>
      <c r="M289" s="26" t="str">
        <f t="shared" si="36"/>
        <v/>
      </c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3"/>
      <c r="AB289" t="str">
        <f t="shared" si="37"/>
        <v/>
      </c>
      <c r="AC289">
        <f t="shared" si="38"/>
        <v>0</v>
      </c>
      <c r="AD289">
        <f t="shared" si="39"/>
        <v>0</v>
      </c>
      <c r="AE289" t="str">
        <f t="shared" si="40"/>
        <v/>
      </c>
      <c r="AF289" t="str">
        <f t="shared" si="41"/>
        <v/>
      </c>
      <c r="AG289">
        <f t="shared" si="42"/>
        <v>0</v>
      </c>
      <c r="AH289" t="str">
        <f t="shared" si="43"/>
        <v/>
      </c>
      <c r="AI289" t="str">
        <f t="shared" si="44"/>
        <v/>
      </c>
    </row>
    <row r="290" spans="1:35" x14ac:dyDescent="0.25">
      <c r="A290" s="23"/>
      <c r="B290" s="23"/>
      <c r="C290" s="23"/>
      <c r="D290" s="23"/>
      <c r="E290" s="23"/>
      <c r="F290" s="23"/>
      <c r="G290" s="23"/>
      <c r="H290" s="24"/>
      <c r="I290" s="24"/>
      <c r="J290" s="23"/>
      <c r="K290" s="25"/>
      <c r="L290" s="25"/>
      <c r="M290" s="26" t="str">
        <f t="shared" si="36"/>
        <v/>
      </c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3"/>
      <c r="AB290" t="str">
        <f t="shared" si="37"/>
        <v/>
      </c>
      <c r="AC290">
        <f t="shared" si="38"/>
        <v>0</v>
      </c>
      <c r="AD290">
        <f t="shared" si="39"/>
        <v>0</v>
      </c>
      <c r="AE290" t="str">
        <f t="shared" si="40"/>
        <v/>
      </c>
      <c r="AF290" t="str">
        <f t="shared" si="41"/>
        <v/>
      </c>
      <c r="AG290">
        <f t="shared" si="42"/>
        <v>0</v>
      </c>
      <c r="AH290" t="str">
        <f t="shared" si="43"/>
        <v/>
      </c>
      <c r="AI290" t="str">
        <f t="shared" si="44"/>
        <v/>
      </c>
    </row>
    <row r="291" spans="1:35" x14ac:dyDescent="0.25">
      <c r="A291" s="23"/>
      <c r="B291" s="23"/>
      <c r="C291" s="23"/>
      <c r="D291" s="23"/>
      <c r="E291" s="23"/>
      <c r="F291" s="23"/>
      <c r="G291" s="23"/>
      <c r="H291" s="24"/>
      <c r="I291" s="24"/>
      <c r="J291" s="23"/>
      <c r="K291" s="25"/>
      <c r="L291" s="25"/>
      <c r="M291" s="26" t="str">
        <f t="shared" si="36"/>
        <v/>
      </c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3"/>
      <c r="AB291" t="str">
        <f t="shared" si="37"/>
        <v/>
      </c>
      <c r="AC291">
        <f t="shared" si="38"/>
        <v>0</v>
      </c>
      <c r="AD291">
        <f t="shared" si="39"/>
        <v>0</v>
      </c>
      <c r="AE291" t="str">
        <f t="shared" si="40"/>
        <v/>
      </c>
      <c r="AF291" t="str">
        <f t="shared" si="41"/>
        <v/>
      </c>
      <c r="AG291">
        <f t="shared" si="42"/>
        <v>0</v>
      </c>
      <c r="AH291" t="str">
        <f t="shared" si="43"/>
        <v/>
      </c>
      <c r="AI291" t="str">
        <f t="shared" si="44"/>
        <v/>
      </c>
    </row>
    <row r="292" spans="1:35" x14ac:dyDescent="0.25">
      <c r="A292" s="23"/>
      <c r="B292" s="23"/>
      <c r="C292" s="23"/>
      <c r="D292" s="23"/>
      <c r="E292" s="23"/>
      <c r="F292" s="23"/>
      <c r="G292" s="23"/>
      <c r="H292" s="24"/>
      <c r="I292" s="24"/>
      <c r="J292" s="23"/>
      <c r="K292" s="25"/>
      <c r="L292" s="25"/>
      <c r="M292" s="26" t="str">
        <f t="shared" si="36"/>
        <v/>
      </c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3"/>
      <c r="AB292" t="str">
        <f t="shared" si="37"/>
        <v/>
      </c>
      <c r="AC292">
        <f t="shared" si="38"/>
        <v>0</v>
      </c>
      <c r="AD292">
        <f t="shared" si="39"/>
        <v>0</v>
      </c>
      <c r="AE292" t="str">
        <f t="shared" si="40"/>
        <v/>
      </c>
      <c r="AF292" t="str">
        <f t="shared" si="41"/>
        <v/>
      </c>
      <c r="AG292">
        <f t="shared" si="42"/>
        <v>0</v>
      </c>
      <c r="AH292" t="str">
        <f t="shared" si="43"/>
        <v/>
      </c>
      <c r="AI292" t="str">
        <f t="shared" si="44"/>
        <v/>
      </c>
    </row>
    <row r="293" spans="1:35" x14ac:dyDescent="0.25">
      <c r="A293" s="23"/>
      <c r="B293" s="23"/>
      <c r="C293" s="23"/>
      <c r="D293" s="23"/>
      <c r="E293" s="23"/>
      <c r="F293" s="23"/>
      <c r="G293" s="23"/>
      <c r="H293" s="24"/>
      <c r="I293" s="24"/>
      <c r="J293" s="23"/>
      <c r="K293" s="25"/>
      <c r="L293" s="25"/>
      <c r="M293" s="26" t="str">
        <f t="shared" si="36"/>
        <v/>
      </c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3"/>
      <c r="AB293" t="str">
        <f t="shared" si="37"/>
        <v/>
      </c>
      <c r="AC293">
        <f t="shared" si="38"/>
        <v>0</v>
      </c>
      <c r="AD293">
        <f t="shared" si="39"/>
        <v>0</v>
      </c>
      <c r="AE293" t="str">
        <f t="shared" si="40"/>
        <v/>
      </c>
      <c r="AF293" t="str">
        <f t="shared" si="41"/>
        <v/>
      </c>
      <c r="AG293">
        <f t="shared" si="42"/>
        <v>0</v>
      </c>
      <c r="AH293" t="str">
        <f t="shared" si="43"/>
        <v/>
      </c>
      <c r="AI293" t="str">
        <f t="shared" si="44"/>
        <v/>
      </c>
    </row>
    <row r="294" spans="1:35" x14ac:dyDescent="0.25">
      <c r="A294" s="23"/>
      <c r="B294" s="23"/>
      <c r="C294" s="23"/>
      <c r="D294" s="23"/>
      <c r="E294" s="23"/>
      <c r="F294" s="23"/>
      <c r="G294" s="23"/>
      <c r="H294" s="24"/>
      <c r="I294" s="24"/>
      <c r="J294" s="23"/>
      <c r="K294" s="25"/>
      <c r="L294" s="25"/>
      <c r="M294" s="26" t="str">
        <f t="shared" si="36"/>
        <v/>
      </c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3"/>
      <c r="AB294" t="str">
        <f t="shared" si="37"/>
        <v/>
      </c>
      <c r="AC294">
        <f t="shared" si="38"/>
        <v>0</v>
      </c>
      <c r="AD294">
        <f t="shared" si="39"/>
        <v>0</v>
      </c>
      <c r="AE294" t="str">
        <f t="shared" si="40"/>
        <v/>
      </c>
      <c r="AF294" t="str">
        <f t="shared" si="41"/>
        <v/>
      </c>
      <c r="AG294">
        <f t="shared" si="42"/>
        <v>0</v>
      </c>
      <c r="AH294" t="str">
        <f t="shared" si="43"/>
        <v/>
      </c>
      <c r="AI294" t="str">
        <f t="shared" si="44"/>
        <v/>
      </c>
    </row>
    <row r="295" spans="1:35" x14ac:dyDescent="0.25">
      <c r="A295" s="23"/>
      <c r="B295" s="23"/>
      <c r="C295" s="23"/>
      <c r="D295" s="23"/>
      <c r="E295" s="23"/>
      <c r="F295" s="23"/>
      <c r="G295" s="23"/>
      <c r="H295" s="24"/>
      <c r="I295" s="24"/>
      <c r="J295" s="23"/>
      <c r="K295" s="25"/>
      <c r="L295" s="25"/>
      <c r="M295" s="26" t="str">
        <f t="shared" si="36"/>
        <v/>
      </c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3"/>
      <c r="AB295" t="str">
        <f t="shared" si="37"/>
        <v/>
      </c>
      <c r="AC295">
        <f t="shared" si="38"/>
        <v>0</v>
      </c>
      <c r="AD295">
        <f t="shared" si="39"/>
        <v>0</v>
      </c>
      <c r="AE295" t="str">
        <f t="shared" si="40"/>
        <v/>
      </c>
      <c r="AF295" t="str">
        <f t="shared" si="41"/>
        <v/>
      </c>
      <c r="AG295">
        <f t="shared" si="42"/>
        <v>0</v>
      </c>
      <c r="AH295" t="str">
        <f t="shared" si="43"/>
        <v/>
      </c>
      <c r="AI295" t="str">
        <f t="shared" si="44"/>
        <v/>
      </c>
    </row>
    <row r="296" spans="1:35" x14ac:dyDescent="0.25">
      <c r="A296" s="23"/>
      <c r="B296" s="23"/>
      <c r="C296" s="23"/>
      <c r="D296" s="23"/>
      <c r="E296" s="23"/>
      <c r="F296" s="23"/>
      <c r="G296" s="23"/>
      <c r="H296" s="24"/>
      <c r="I296" s="24"/>
      <c r="J296" s="23"/>
      <c r="K296" s="25"/>
      <c r="L296" s="25"/>
      <c r="M296" s="26" t="str">
        <f t="shared" si="36"/>
        <v/>
      </c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3"/>
      <c r="AB296" t="str">
        <f t="shared" si="37"/>
        <v/>
      </c>
      <c r="AC296">
        <f t="shared" si="38"/>
        <v>0</v>
      </c>
      <c r="AD296">
        <f t="shared" si="39"/>
        <v>0</v>
      </c>
      <c r="AE296" t="str">
        <f t="shared" si="40"/>
        <v/>
      </c>
      <c r="AF296" t="str">
        <f t="shared" si="41"/>
        <v/>
      </c>
      <c r="AG296">
        <f t="shared" si="42"/>
        <v>0</v>
      </c>
      <c r="AH296" t="str">
        <f t="shared" si="43"/>
        <v/>
      </c>
      <c r="AI296" t="str">
        <f t="shared" si="44"/>
        <v/>
      </c>
    </row>
    <row r="297" spans="1:35" x14ac:dyDescent="0.25">
      <c r="A297" s="23"/>
      <c r="B297" s="23"/>
      <c r="C297" s="23"/>
      <c r="D297" s="23"/>
      <c r="E297" s="23"/>
      <c r="F297" s="23"/>
      <c r="G297" s="23"/>
      <c r="H297" s="24"/>
      <c r="I297" s="24"/>
      <c r="J297" s="23"/>
      <c r="K297" s="25"/>
      <c r="L297" s="25"/>
      <c r="M297" s="26" t="str">
        <f t="shared" si="36"/>
        <v/>
      </c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3"/>
      <c r="AB297" t="str">
        <f t="shared" si="37"/>
        <v/>
      </c>
      <c r="AC297">
        <f t="shared" si="38"/>
        <v>0</v>
      </c>
      <c r="AD297">
        <f t="shared" si="39"/>
        <v>0</v>
      </c>
      <c r="AE297" t="str">
        <f t="shared" si="40"/>
        <v/>
      </c>
      <c r="AF297" t="str">
        <f t="shared" si="41"/>
        <v/>
      </c>
      <c r="AG297">
        <f t="shared" si="42"/>
        <v>0</v>
      </c>
      <c r="AH297" t="str">
        <f t="shared" si="43"/>
        <v/>
      </c>
      <c r="AI297" t="str">
        <f t="shared" si="44"/>
        <v/>
      </c>
    </row>
    <row r="298" spans="1:35" x14ac:dyDescent="0.25">
      <c r="A298" s="23"/>
      <c r="B298" s="23"/>
      <c r="C298" s="23"/>
      <c r="D298" s="23"/>
      <c r="E298" s="23"/>
      <c r="F298" s="23"/>
      <c r="G298" s="23"/>
      <c r="H298" s="24"/>
      <c r="I298" s="24"/>
      <c r="J298" s="23"/>
      <c r="K298" s="25"/>
      <c r="L298" s="25"/>
      <c r="M298" s="26" t="str">
        <f t="shared" si="36"/>
        <v/>
      </c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3"/>
      <c r="AB298" t="str">
        <f t="shared" si="37"/>
        <v/>
      </c>
      <c r="AC298">
        <f t="shared" si="38"/>
        <v>0</v>
      </c>
      <c r="AD298">
        <f t="shared" si="39"/>
        <v>0</v>
      </c>
      <c r="AE298" t="str">
        <f t="shared" si="40"/>
        <v/>
      </c>
      <c r="AF298" t="str">
        <f t="shared" si="41"/>
        <v/>
      </c>
      <c r="AG298">
        <f t="shared" si="42"/>
        <v>0</v>
      </c>
      <c r="AH298" t="str">
        <f t="shared" si="43"/>
        <v/>
      </c>
      <c r="AI298" t="str">
        <f t="shared" si="44"/>
        <v/>
      </c>
    </row>
    <row r="299" spans="1:35" x14ac:dyDescent="0.25">
      <c r="A299" s="23"/>
      <c r="B299" s="23"/>
      <c r="C299" s="23"/>
      <c r="D299" s="23"/>
      <c r="E299" s="23"/>
      <c r="F299" s="23"/>
      <c r="G299" s="23"/>
      <c r="H299" s="24"/>
      <c r="I299" s="24"/>
      <c r="J299" s="23"/>
      <c r="K299" s="25"/>
      <c r="L299" s="25"/>
      <c r="M299" s="26" t="str">
        <f t="shared" si="36"/>
        <v/>
      </c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3"/>
      <c r="AB299" t="str">
        <f t="shared" si="37"/>
        <v/>
      </c>
      <c r="AC299">
        <f t="shared" si="38"/>
        <v>0</v>
      </c>
      <c r="AD299">
        <f t="shared" si="39"/>
        <v>0</v>
      </c>
      <c r="AE299" t="str">
        <f t="shared" si="40"/>
        <v/>
      </c>
      <c r="AF299" t="str">
        <f t="shared" si="41"/>
        <v/>
      </c>
      <c r="AG299">
        <f t="shared" si="42"/>
        <v>0</v>
      </c>
      <c r="AH299" t="str">
        <f t="shared" si="43"/>
        <v/>
      </c>
      <c r="AI299" t="str">
        <f t="shared" si="44"/>
        <v/>
      </c>
    </row>
    <row r="300" spans="1:35" x14ac:dyDescent="0.25">
      <c r="A300" s="23"/>
      <c r="B300" s="23"/>
      <c r="C300" s="23"/>
      <c r="D300" s="23"/>
      <c r="E300" s="23"/>
      <c r="F300" s="23"/>
      <c r="G300" s="23"/>
      <c r="H300" s="24"/>
      <c r="I300" s="24"/>
      <c r="J300" s="23"/>
      <c r="K300" s="25"/>
      <c r="L300" s="25"/>
      <c r="M300" s="26" t="str">
        <f t="shared" si="36"/>
        <v/>
      </c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3"/>
      <c r="AB300" t="str">
        <f t="shared" si="37"/>
        <v/>
      </c>
      <c r="AC300">
        <f t="shared" si="38"/>
        <v>0</v>
      </c>
      <c r="AD300">
        <f t="shared" si="39"/>
        <v>0</v>
      </c>
      <c r="AE300" t="str">
        <f t="shared" si="40"/>
        <v/>
      </c>
      <c r="AF300" t="str">
        <f t="shared" si="41"/>
        <v/>
      </c>
      <c r="AG300">
        <f t="shared" si="42"/>
        <v>0</v>
      </c>
      <c r="AH300" t="str">
        <f t="shared" si="43"/>
        <v/>
      </c>
      <c r="AI300" t="str">
        <f t="shared" si="44"/>
        <v/>
      </c>
    </row>
    <row r="301" spans="1:35" x14ac:dyDescent="0.25">
      <c r="A301" s="23"/>
      <c r="B301" s="23"/>
      <c r="C301" s="23"/>
      <c r="D301" s="23"/>
      <c r="E301" s="23"/>
      <c r="F301" s="23"/>
      <c r="G301" s="23"/>
      <c r="H301" s="24"/>
      <c r="I301" s="24"/>
      <c r="J301" s="23"/>
      <c r="K301" s="25"/>
      <c r="L301" s="25"/>
      <c r="M301" s="26" t="str">
        <f t="shared" si="36"/>
        <v/>
      </c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3"/>
      <c r="AB301" t="str">
        <f t="shared" si="37"/>
        <v/>
      </c>
      <c r="AC301">
        <f t="shared" si="38"/>
        <v>0</v>
      </c>
      <c r="AD301">
        <f t="shared" si="39"/>
        <v>0</v>
      </c>
      <c r="AE301" t="str">
        <f t="shared" si="40"/>
        <v/>
      </c>
      <c r="AF301" t="str">
        <f t="shared" si="41"/>
        <v/>
      </c>
      <c r="AG301">
        <f t="shared" si="42"/>
        <v>0</v>
      </c>
      <c r="AH301" t="str">
        <f t="shared" si="43"/>
        <v/>
      </c>
      <c r="AI301" t="str">
        <f t="shared" si="44"/>
        <v/>
      </c>
    </row>
  </sheetData>
  <sheetProtection sheet="1" objects="1" scenarios="1" formatColumns="0" formatRows="0" autoFilter="0"/>
  <autoFilter ref="A1:Z301" xr:uid="{00000000-0009-0000-0000-000002000000}"/>
  <conditionalFormatting sqref="M2:M301">
    <cfRule type="expression" dxfId="5" priority="1" stopIfTrue="1">
      <formula>LEFT($M2,1)="⚠"</formula>
    </cfRule>
    <cfRule type="expression" dxfId="4" priority="2" stopIfTrue="1">
      <formula>AND(LEFT($M2,1)="✔",ISNUMBER(SEARCH("⚠",$M2)))</formula>
    </cfRule>
    <cfRule type="expression" dxfId="3" priority="3">
      <formula>LEFT($M2,1)="✔"</formula>
    </cfRule>
  </conditionalFormatting>
  <dataValidations count="9">
    <dataValidation type="list" allowBlank="1" showErrorMessage="1" errorTitle="Categoría" error="Elija la categoría de la lista desplegable." sqref="B2:B301" xr:uid="{00000000-0002-0000-0200-000000000000}">
      <formula1>Lista_Categoria</formula1>
    </dataValidation>
    <dataValidation type="list" allowBlank="1" showErrorMessage="1" errorTitle="Sede" error="Elija la sede de la lista desplegable." sqref="F2:F301" xr:uid="{00000000-0002-0000-0200-000001000000}">
      <formula1>Lista_Sede</formula1>
    </dataValidation>
    <dataValidation type="list" allowBlank="1" showInputMessage="1" showErrorMessage="1" errorTitle="¿Se repite?" error="Elija una opción de la lista desplegable." promptTitle="¿Se repite?" prompt="Déjelo vacío si no se repite. Si se repite, elija cada cuánto y escriba en «Hasta» la última fecha." sqref="J2:J301" xr:uid="{00000000-0002-0000-0200-000002000000}">
      <formula1>Lista_Repite</formula1>
    </dataValidation>
    <dataValidation type="time" allowBlank="1" showErrorMessage="1" errorTitle="Hora" error="Escriba la hora como hh:mm, por ejemplo 08:00 o 14:30." sqref="H2:I301" xr:uid="{00000000-0002-0000-0200-000003000000}">
      <formula1>TIME(0,0,0)</formula1>
      <formula2>TIME(23,59,59)</formula2>
    </dataValidation>
    <dataValidation type="date" allowBlank="1" showInputMessage="1" showErrorMessage="1" errorTitle="Fecha" error="Escriba una fecha real como dd/mm/aaaa (ej. 03/02/2027)." promptTitle="Desde" prompt="Fecha de la actividad, o la primera fecha si se repite. Ej. 03/02/2027." sqref="K2:K301" xr:uid="{00000000-0002-0000-0200-000004000000}">
      <formula1>DATE(2026,1,1)</formula1>
      <formula2>DATE(2028,12,31)</formula2>
    </dataValidation>
    <dataValidation type="date" operator="greaterThanOrEqual" allowBlank="1" showInputMessage="1" showErrorMessage="1" errorTitle="Fecha" error="Debe ser una fecha igual o posterior a «Desde», como dd/mm/aaaa." promptTitle="Hasta" prompt="Solo si dura varios días o se repite: la última fecha." sqref="L2:L301" xr:uid="{00000000-0002-0000-0200-000005000000}">
      <formula1>K2</formula1>
    </dataValidation>
    <dataValidation type="date" allowBlank="1" showInputMessage="1" showErrorMessage="1" errorTitle="Fecha" error="Escriba una fecha real como dd/mm/aaaa, una por casilla." promptTitle="Fechas específicas" prompt="Solo si eligió «En fechas específicas»: una fecha por casilla." sqref="N2:Y301" xr:uid="{00000000-0002-0000-0200-000006000000}">
      <formula1>DATE(2026,1,1)</formula1>
      <formula2>DATE(2028,12,31)</formula2>
    </dataValidation>
    <dataValidation type="list" allowBlank="1" showInputMessage="1" showErrorMessage="1" errorTitle="Calendario" error="Elija Académico o Administrativo en la lista desplegable." sqref="E2:E301" xr:uid="{78696667-39A2-458B-9A1C-668267651992}">
      <formula1>Lista_Calendario</formula1>
    </dataValidation>
    <dataValidation type="list" errorStyle="information" allowBlank="1" showInputMessage="1" showErrorMessage="1" errorTitle="Área que no está en la lista" error="Si su área no está en la lista, escriba su nombre oficial completo y pulse Aceptar." sqref="D2:D301" xr:uid="{2B98EAA6-5FEB-4610-BA25-B342979136A4}">
      <formula1>Lista_Areas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AI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8" customWidth="1"/>
    <col min="2" max="2" width="22" customWidth="1"/>
    <col min="3" max="3" width="26.7109375" customWidth="1"/>
    <col min="4" max="4" width="28.7109375" customWidth="1"/>
    <col min="5" max="5" width="17.7109375" customWidth="1"/>
    <col min="6" max="6" width="16" customWidth="1"/>
    <col min="7" max="7" width="24" customWidth="1"/>
    <col min="8" max="9" width="10" customWidth="1"/>
    <col min="10" max="10" width="17" customWidth="1"/>
    <col min="11" max="12" width="12" customWidth="1"/>
    <col min="13" max="13" width="52" customWidth="1"/>
    <col min="14" max="25" width="11" customWidth="1"/>
    <col min="26" max="26" width="32" customWidth="1"/>
    <col min="28" max="35" width="13" hidden="1" customWidth="1"/>
  </cols>
  <sheetData>
    <row r="1" spans="1:35" ht="42" customHeight="1" x14ac:dyDescent="0.25">
      <c r="A1" s="20" t="s">
        <v>50</v>
      </c>
      <c r="B1" s="20" t="s">
        <v>51</v>
      </c>
      <c r="C1" s="20" t="s">
        <v>143</v>
      </c>
      <c r="D1" s="20" t="s">
        <v>144</v>
      </c>
      <c r="E1" s="20" t="s">
        <v>145</v>
      </c>
      <c r="F1" s="20" t="s">
        <v>52</v>
      </c>
      <c r="G1" s="20" t="s">
        <v>53</v>
      </c>
      <c r="H1" s="20" t="s">
        <v>54</v>
      </c>
      <c r="I1" s="20" t="s">
        <v>55</v>
      </c>
      <c r="J1" s="20" t="s">
        <v>56</v>
      </c>
      <c r="K1" s="20" t="s">
        <v>57</v>
      </c>
      <c r="L1" s="20" t="s">
        <v>58</v>
      </c>
      <c r="M1" s="21" t="s">
        <v>59</v>
      </c>
      <c r="N1" s="22" t="s">
        <v>60</v>
      </c>
      <c r="O1" s="22" t="s">
        <v>61</v>
      </c>
      <c r="P1" s="22" t="s">
        <v>62</v>
      </c>
      <c r="Q1" s="22" t="s">
        <v>63</v>
      </c>
      <c r="R1" s="22" t="s">
        <v>64</v>
      </c>
      <c r="S1" s="22" t="s">
        <v>65</v>
      </c>
      <c r="T1" s="22" t="s">
        <v>66</v>
      </c>
      <c r="U1" s="22" t="s">
        <v>67</v>
      </c>
      <c r="V1" s="22" t="s">
        <v>68</v>
      </c>
      <c r="W1" s="22" t="s">
        <v>69</v>
      </c>
      <c r="X1" s="22" t="s">
        <v>70</v>
      </c>
      <c r="Y1" s="22" t="s">
        <v>71</v>
      </c>
      <c r="Z1" s="20" t="s">
        <v>72</v>
      </c>
      <c r="AB1" s="4" t="s">
        <v>73</v>
      </c>
      <c r="AC1" s="4" t="s">
        <v>74</v>
      </c>
      <c r="AD1" s="4" t="s">
        <v>75</v>
      </c>
      <c r="AE1" s="4" t="s">
        <v>76</v>
      </c>
      <c r="AF1" s="4" t="s">
        <v>77</v>
      </c>
      <c r="AG1" s="4" t="s">
        <v>78</v>
      </c>
      <c r="AH1" s="4" t="s">
        <v>79</v>
      </c>
      <c r="AI1" s="4" t="s">
        <v>80</v>
      </c>
    </row>
    <row r="2" spans="1:35" ht="25.5" x14ac:dyDescent="0.25">
      <c r="A2" s="28" t="s">
        <v>81</v>
      </c>
      <c r="B2" s="28" t="s">
        <v>82</v>
      </c>
      <c r="C2" s="34" t="s">
        <v>146</v>
      </c>
      <c r="D2" s="34" t="s">
        <v>147</v>
      </c>
      <c r="E2" s="34" t="s">
        <v>141</v>
      </c>
      <c r="F2" s="28" t="s">
        <v>83</v>
      </c>
      <c r="G2" s="28" t="s">
        <v>84</v>
      </c>
      <c r="H2" s="29">
        <v>0.33333333333333331</v>
      </c>
      <c r="I2" s="29">
        <v>0.5</v>
      </c>
      <c r="J2" s="28"/>
      <c r="K2" s="30">
        <v>46519</v>
      </c>
      <c r="L2" s="30"/>
      <c r="M2" s="26" t="str">
        <f t="shared" ref="M2:M7" si="0">IF(AB2="","",IF(AE2&lt;&gt;"","⚠ "&amp;AE2,"✔ "&amp;AI2&amp;IF(AG2&gt;0," · ⚠ "&amp;AG2&amp;IF(AG2=1," fecha cae"," fechas caen")&amp;" en festivo"&amp;IF(OR(AB2="Un día",AB2="Fechas específicas"),": revise la fecha",": se pasará al día hábil siguiente"),"")))</f>
        <v>✔ Un día: miércoles 12/05/2027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28"/>
      <c r="AB2" t="str">
        <f t="shared" ref="AB2:AB7" si="1">IF(COUNTA(A2:L2,N2:Y2)=0,"",IF(OR(J2="En fechas específicas",AND(OR(J2="",J2="No"),K2="",COUNT(N2:Y2)&gt;0)),"Fechas específicas",IF(OR(J2="",J2="No"),IF(OR(L2="",L2=K2),"Un día","Varios días"),J2)))</f>
        <v>Un día</v>
      </c>
      <c r="AC2">
        <f t="shared" ref="AC2:AC7" si="2">IF(AB2="Cada mes",1,IF(AB2="Cada 2 meses",2,IF(AB2="Cada 3 meses",3,IF(AB2="Cada 6 meses",6,0))))</f>
        <v>0</v>
      </c>
      <c r="AD2">
        <f t="shared" ref="AD2:AD7" si="3">IF(ISNUMBER(K2),INT((DAY(K2)-1)/7)+1,0)</f>
        <v>2</v>
      </c>
      <c r="AE2" t="str">
        <f t="shared" ref="AE2:AE7" si="4">IF(AB2="","",IF(A2="","Falta el nombre de la actividad",IF(B2="","Falta la categoría",IF(COUNTIF(Lista_Categoria,B2)=0,"Elija la categoría de la lista",IF(AND(F2="",SedePrincipal=""),"Falta la sede: elíjala aquí o en «1. Datos del área»",IF(AND(F2&lt;&gt;"",COUNTIF(Lista_Sede,F2)=0),"Elija la sede de la lista",IF(AND(E2="",CalendarioPrincipal=""),"Falta el calendario (Académico o Administrativo): elíjalo aquí o en «1. Datos del área»",IF(AND(E2&lt;&gt;"",COUNTIF(Lista_Calendario,E2)=0),"Elija el calendario de la lista",IF(G2="","Falta el lugar",IF(OR(AND(H2&lt;&gt;"",NOT(ISNUMBER(H2))),AND(I2&lt;&gt;"",NOT(ISNUMBER(I2)))),"Hora no válida: use hh:mm (ej. 14:30)",IF(AND(ISNUMBER(H2),ISNUMBER(I2),I2&lt;H2),"La hora fin es antes de la hora inicio",IF(AND(J2&lt;&gt;"",COUNTIF(Lista_Repite,J2)=0),"Elija una opción de la lista «¿Se repite?»",IF(AB2="Fechas específicas",IF(COUNTA(N2:Y2)&lt;&gt;COUNT(N2:Y2),"Alguna fecha de Fecha 1 a Fecha 12 no es válida: use dd/mm/aaaa",IF(COUNT(N2:Y2)=0,"Escriba las fechas en Fecha 1, Fecha 2…","")),IF(COUNTA(N2:Y2)&gt;0,"Escribió fechas en Fecha 1…12: elija «En fechas específicas» o bórrelas",IF(K2="","Falta la fecha en «Desde»",IF(NOT(ISNUMBER(K2)),"La fecha «Desde» no es válida: use dd/mm/aaaa",IF(AND(L2&lt;&gt;"",NOT(ISNUMBER(L2))),"La fecha «Hasta» no es válida: use dd/mm/aaaa",IF(AND(ISNUMBER(L2),L2&lt;K2),"«Hasta» es antes de «Desde»",IF(AND(AB2&lt;&gt;"Un día",AB2&lt;&gt;"Varios días",L2=""),"Falta «Hasta»: la última fecha en que se repite",IF(AND(ISNUMBER(L2),L2-K2&gt;730),"El periodo no puede pasar de 2 años",""))))))))))))))))))))</f>
        <v/>
      </c>
      <c r="AF2">
        <f t="shared" ref="AF2:AF7" si="5">IF(OR(AB2="",AE2&lt;&gt;""),"",IF(AB2="Fechas específicas",COUNT(N2:Y2),IF(OR(AB2="Un día",AB2="Varios días"),1,SUMPRODUCT((Dias&lt;=L2-K2)*((AB2="Cada semana")*(MOD(Dias,7)=0)+(AB2="Cada 15 días")*(MOD(Dias,14)=0)+(AC2&gt;0)*(WEEKDAY(K2+Dias)=WEEKDAY(K2))*((AD2=5)*(MONTH(K2+Dias+7)&lt;&gt;MONTH(K2+Dias))+(AD2&lt;5)*(INT((DAY(K2+Dias)-1)/7)+1=AD2))*(MOD((YEAR(K2+Dias)-YEAR(K2))*12+MONTH(K2+Dias)-MONTH(K2),MAX(AC2,1))=0))))))</f>
        <v>1</v>
      </c>
      <c r="AG2">
        <f t="shared" ref="AG2:AG7" si="6">IF(AF2="",0,IF(AB2="Fechas específicas",SUMPRODUCT(COUNTIF(Festivos,N2:Y2)),IF(AB2="Un día",COUNTIF(Festivos,K2),IF(AB2="Varios días",0,SUMPRODUCT((Dias&lt;=L2-K2)*((AB2="Cada semana")*(MOD(Dias,7)=0)+(AB2="Cada 15 días")*(MOD(Dias,14)=0)+(AC2&gt;0)*(WEEKDAY(K2+Dias)=WEEKDAY(K2))*((AD2=5)*(MONTH(K2+Dias+7)&lt;&gt;MONTH(K2+Dias))+(AD2&lt;5)*(INT((DAY(K2+Dias)-1)/7)+1=AD2))*(MOD((YEAR(K2+Dias)-YEAR(K2))*12+MONTH(K2+Dias)-MONTH(K2),MAX(AC2,1))=0))*COUNTIF(Festivos,K2+Dias))))))</f>
        <v>0</v>
      </c>
      <c r="AH2" t="str">
        <f t="shared" ref="AH2:AH7" si="7">IF(AB2&lt;&gt;"Fechas específicas","",IF(ISNUMBER(N2),DAY(N2)&amp;" "&amp;CHOOSE(MONTH(N2),"ene","feb","mar","abr","may","jun","jul","ago","sep","oct","nov","dic")&amp;", ","")&amp;IF(ISNUMBER(O2),DAY(O2)&amp;" "&amp;CHOOSE(MONTH(O2),"ene","feb","mar","abr","may","jun","jul","ago","sep","oct","nov","dic")&amp;", ","")&amp;IF(ISNUMBER(P2),DAY(P2)&amp;" "&amp;CHOOSE(MONTH(P2),"ene","feb","mar","abr","may","jun","jul","ago","sep","oct","nov","dic")&amp;", ","")&amp;IF(ISNUMBER(Q2),DAY(Q2)&amp;" "&amp;CHOOSE(MONTH(Q2),"ene","feb","mar","abr","may","jun","jul","ago","sep","oct","nov","dic")&amp;", ","")&amp;IF(ISNUMBER(R2),DAY(R2)&amp;" "&amp;CHOOSE(MONTH(R2),"ene","feb","mar","abr","may","jun","jul","ago","sep","oct","nov","dic")&amp;", ","")&amp;IF(ISNUMBER(S2),DAY(S2)&amp;" "&amp;CHOOSE(MONTH(S2),"ene","feb","mar","abr","may","jun","jul","ago","sep","oct","nov","dic")&amp;", ","")&amp;IF(ISNUMBER(T2),DAY(T2)&amp;" "&amp;CHOOSE(MONTH(T2),"ene","feb","mar","abr","may","jun","jul","ago","sep","oct","nov","dic")&amp;", ","")&amp;IF(ISNUMBER(U2),DAY(U2)&amp;" "&amp;CHOOSE(MONTH(U2),"ene","feb","mar","abr","may","jun","jul","ago","sep","oct","nov","dic")&amp;", ","")&amp;IF(ISNUMBER(V2),DAY(V2)&amp;" "&amp;CHOOSE(MONTH(V2),"ene","feb","mar","abr","may","jun","jul","ago","sep","oct","nov","dic")&amp;", ","")&amp;IF(ISNUMBER(W2),DAY(W2)&amp;" "&amp;CHOOSE(MONTH(W2),"ene","feb","mar","abr","may","jun","jul","ago","sep","oct","nov","dic")&amp;", ","")&amp;IF(ISNUMBER(X2),DAY(X2)&amp;" "&amp;CHOOSE(MONTH(X2),"ene","feb","mar","abr","may","jun","jul","ago","sep","oct","nov","dic")&amp;", ","")&amp;IF(ISNUMBER(Y2),DAY(Y2)&amp;" "&amp;CHOOSE(MONTH(Y2),"ene","feb","mar","abr","may","jun","jul","ago","sep","oct","nov","dic")&amp;", ",""))</f>
        <v/>
      </c>
      <c r="AI2" t="str">
        <f t="shared" ref="AI2:AI7" si="8">IF(OR(AB2="",AE2&lt;&gt;""),"",IF(AB2="Un día","Un día: "&amp;CHOOSE(WEEKDAY(K2,2),"lunes","martes","miércoles","jueves","viernes","sábado","domingo")&amp;" "&amp;TEXT(DAY(K2),"00")&amp;"/"&amp;TEXT(MONTH(K2),"00")&amp;"/"&amp;YEAR(K2),IF(AB2="Varios días","Del "&amp;TEXT(DAY(K2),"00")&amp;"/"&amp;TEXT(MONTH(K2),"00")&amp;"/"&amp;YEAR(K2)&amp;" al "&amp;TEXT(DAY(L2),"00")&amp;"/"&amp;TEXT(MONTH(L2),"00")&amp;"/"&amp;YEAR(L2)&amp;" ("&amp;(L2-K2+1)&amp;" días)",IF(AB2="Fechas específicas",AF2&amp;IF(AF2=1," fecha: "," fechas: ")&amp;LEFT(AH2,LEN(AH2)-2),IF(AB2="Cada semana","Todos los "&amp;CHOOSE(WEEKDAY(K2,2),"lunes","martes","miércoles","jueves","viernes","sábados","domingos"),IF(AB2="Cada 15 días","Cada 15 días ("&amp;CHOOSE(WEEKDAY(K2,2),"lunes","martes","miércoles","jueves","viernes","sábados","domingos")&amp;" de por medio)",CHOOSE(AD2,"Primer","Segundo","Tercer","Cuarto","Último")&amp;" "&amp;CHOOSE(WEEKDAY(K2,2),"lunes","martes","miércoles","jueves","viernes","sábado","domingo")&amp;IF(AC2=1," de cada mes"," cada "&amp;AC2&amp;" meses")))&amp;", del "&amp;TEXT(DAY(K2),"00")&amp;"/"&amp;TEXT(MONTH(K2),"00")&amp;"/"&amp;YEAR(K2)&amp;" al "&amp;TEXT(DAY(L2),"00")&amp;"/"&amp;TEXT(MONTH(L2),"00")&amp;"/"&amp;YEAR(L2)&amp;" · "&amp;AF2&amp;IF(AF2=1," fecha"," fechas")))))</f>
        <v>Un día: miércoles 12/05/2027</v>
      </c>
    </row>
    <row r="3" spans="1:35" ht="25.5" x14ac:dyDescent="0.25">
      <c r="A3" s="28" t="s">
        <v>85</v>
      </c>
      <c r="B3" s="28" t="s">
        <v>82</v>
      </c>
      <c r="C3" s="34" t="s">
        <v>146</v>
      </c>
      <c r="D3" s="34"/>
      <c r="E3" s="34" t="s">
        <v>141</v>
      </c>
      <c r="F3" s="28" t="s">
        <v>86</v>
      </c>
      <c r="G3" s="28" t="s">
        <v>87</v>
      </c>
      <c r="H3" s="29">
        <v>0.33333333333333331</v>
      </c>
      <c r="I3" s="29">
        <v>0.70833333333333337</v>
      </c>
      <c r="J3" s="28"/>
      <c r="K3" s="30">
        <v>46517</v>
      </c>
      <c r="L3" s="30">
        <v>46521</v>
      </c>
      <c r="M3" s="26" t="str">
        <f t="shared" si="0"/>
        <v>✔ Del 10/05/2027 al 14/05/2027 (5 días)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28"/>
      <c r="AB3" t="str">
        <f t="shared" si="1"/>
        <v>Varios días</v>
      </c>
      <c r="AC3">
        <f t="shared" si="2"/>
        <v>0</v>
      </c>
      <c r="AD3">
        <f t="shared" si="3"/>
        <v>2</v>
      </c>
      <c r="AE3" t="str">
        <f t="shared" si="4"/>
        <v/>
      </c>
      <c r="AF3">
        <f t="shared" si="5"/>
        <v>1</v>
      </c>
      <c r="AG3">
        <f t="shared" si="6"/>
        <v>0</v>
      </c>
      <c r="AH3" t="str">
        <f t="shared" si="7"/>
        <v/>
      </c>
      <c r="AI3" t="str">
        <f t="shared" si="8"/>
        <v>Del 10/05/2027 al 14/05/2027 (5 días)</v>
      </c>
    </row>
    <row r="4" spans="1:35" ht="25.5" x14ac:dyDescent="0.25">
      <c r="A4" s="28" t="s">
        <v>88</v>
      </c>
      <c r="B4" s="28" t="s">
        <v>89</v>
      </c>
      <c r="C4" s="34" t="s">
        <v>148</v>
      </c>
      <c r="D4" s="34" t="s">
        <v>188</v>
      </c>
      <c r="E4" s="34" t="s">
        <v>140</v>
      </c>
      <c r="F4" s="28" t="s">
        <v>90</v>
      </c>
      <c r="G4" s="28" t="s">
        <v>91</v>
      </c>
      <c r="H4" s="29">
        <v>0.58333333333333337</v>
      </c>
      <c r="I4" s="29">
        <v>0.66666666666666663</v>
      </c>
      <c r="J4" s="28" t="s">
        <v>92</v>
      </c>
      <c r="K4" s="30">
        <v>46421</v>
      </c>
      <c r="L4" s="30">
        <v>46722</v>
      </c>
      <c r="M4" s="26" t="str">
        <f t="shared" si="0"/>
        <v>✔ Primer miércoles de cada mes, del 03/02/2027 al 01/12/2027 · 11 fechas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28"/>
      <c r="AB4" t="str">
        <f t="shared" si="1"/>
        <v>Cada mes</v>
      </c>
      <c r="AC4">
        <f t="shared" si="2"/>
        <v>1</v>
      </c>
      <c r="AD4">
        <f t="shared" si="3"/>
        <v>1</v>
      </c>
      <c r="AE4" t="str">
        <f t="shared" si="4"/>
        <v/>
      </c>
      <c r="AF4">
        <f t="shared" si="5"/>
        <v>11</v>
      </c>
      <c r="AG4">
        <f t="shared" si="6"/>
        <v>0</v>
      </c>
      <c r="AH4" t="str">
        <f t="shared" si="7"/>
        <v/>
      </c>
      <c r="AI4" t="str">
        <f t="shared" si="8"/>
        <v>Primer miércoles de cada mes, del 03/02/2027 al 01/12/2027 · 11 fechas</v>
      </c>
    </row>
    <row r="5" spans="1:35" ht="38.25" x14ac:dyDescent="0.25">
      <c r="A5" s="28" t="s">
        <v>93</v>
      </c>
      <c r="B5" s="28" t="s">
        <v>94</v>
      </c>
      <c r="C5" s="34"/>
      <c r="D5" s="34"/>
      <c r="E5" s="34" t="s">
        <v>141</v>
      </c>
      <c r="F5" s="28" t="s">
        <v>90</v>
      </c>
      <c r="G5" s="28" t="s">
        <v>95</v>
      </c>
      <c r="H5" s="29">
        <v>0.33333333333333331</v>
      </c>
      <c r="I5" s="29">
        <v>0.41666666666666669</v>
      </c>
      <c r="J5" s="28" t="s">
        <v>96</v>
      </c>
      <c r="K5" s="30">
        <v>46426</v>
      </c>
      <c r="L5" s="30">
        <v>46538</v>
      </c>
      <c r="M5" s="26" t="str">
        <f t="shared" si="0"/>
        <v>✔ Todos los lunes, del 08/02/2027 al 31/05/2027 · 17 fechas · ⚠ 3 fechas caen en festivo: se pasará al día hábil siguiente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28"/>
      <c r="AB5" t="str">
        <f t="shared" si="1"/>
        <v>Cada semana</v>
      </c>
      <c r="AC5">
        <f t="shared" si="2"/>
        <v>0</v>
      </c>
      <c r="AD5">
        <f t="shared" si="3"/>
        <v>2</v>
      </c>
      <c r="AE5" t="str">
        <f t="shared" si="4"/>
        <v/>
      </c>
      <c r="AF5">
        <f t="shared" si="5"/>
        <v>17</v>
      </c>
      <c r="AG5">
        <f t="shared" si="6"/>
        <v>3</v>
      </c>
      <c r="AH5" t="str">
        <f t="shared" si="7"/>
        <v/>
      </c>
      <c r="AI5" t="str">
        <f t="shared" si="8"/>
        <v>Todos los lunes, del 08/02/2027 al 31/05/2027 · 17 fechas</v>
      </c>
    </row>
    <row r="6" spans="1:35" ht="25.5" x14ac:dyDescent="0.25">
      <c r="A6" s="28" t="s">
        <v>97</v>
      </c>
      <c r="B6" s="28" t="s">
        <v>98</v>
      </c>
      <c r="C6" s="34"/>
      <c r="D6" s="34" t="s">
        <v>149</v>
      </c>
      <c r="E6" s="34" t="s">
        <v>140</v>
      </c>
      <c r="F6" s="28" t="s">
        <v>90</v>
      </c>
      <c r="G6" s="28" t="s">
        <v>99</v>
      </c>
      <c r="H6" s="29">
        <v>0.375</v>
      </c>
      <c r="I6" s="29">
        <v>0.45833333333333331</v>
      </c>
      <c r="J6" s="28" t="s">
        <v>100</v>
      </c>
      <c r="K6" s="30"/>
      <c r="L6" s="30"/>
      <c r="M6" s="26" t="str">
        <f t="shared" si="0"/>
        <v>✔ 4 fechas: 10 feb, 17 mar, 21 abr, 19 may</v>
      </c>
      <c r="N6" s="31">
        <v>46428</v>
      </c>
      <c r="O6" s="31">
        <v>46463</v>
      </c>
      <c r="P6" s="31">
        <v>46498</v>
      </c>
      <c r="Q6" s="31">
        <v>46526</v>
      </c>
      <c r="R6" s="31"/>
      <c r="S6" s="31"/>
      <c r="T6" s="31"/>
      <c r="U6" s="31"/>
      <c r="V6" s="31"/>
      <c r="W6" s="31"/>
      <c r="X6" s="31"/>
      <c r="Y6" s="31"/>
      <c r="Z6" s="28"/>
      <c r="AB6" t="str">
        <f t="shared" si="1"/>
        <v>Fechas específicas</v>
      </c>
      <c r="AC6">
        <f t="shared" si="2"/>
        <v>0</v>
      </c>
      <c r="AD6">
        <f t="shared" si="3"/>
        <v>0</v>
      </c>
      <c r="AE6" t="str">
        <f t="shared" si="4"/>
        <v/>
      </c>
      <c r="AF6">
        <f t="shared" si="5"/>
        <v>4</v>
      </c>
      <c r="AG6">
        <f t="shared" si="6"/>
        <v>0</v>
      </c>
      <c r="AH6" t="str">
        <f t="shared" si="7"/>
        <v xml:space="preserve">10 feb, 17 mar, 21 abr, 19 may, </v>
      </c>
      <c r="AI6" t="str">
        <f t="shared" si="8"/>
        <v>4 fechas: 10 feb, 17 mar, 21 abr, 19 may</v>
      </c>
    </row>
    <row r="7" spans="1:35" ht="25.5" x14ac:dyDescent="0.25">
      <c r="A7" s="28" t="s">
        <v>101</v>
      </c>
      <c r="B7" s="28" t="s">
        <v>102</v>
      </c>
      <c r="C7" s="34" t="s">
        <v>150</v>
      </c>
      <c r="D7" s="34" t="s">
        <v>151</v>
      </c>
      <c r="E7" s="34" t="s">
        <v>141</v>
      </c>
      <c r="F7" s="28" t="s">
        <v>103</v>
      </c>
      <c r="G7" s="28" t="s">
        <v>104</v>
      </c>
      <c r="H7" s="29"/>
      <c r="I7" s="29"/>
      <c r="J7" s="28"/>
      <c r="K7" s="30">
        <v>46447</v>
      </c>
      <c r="L7" s="30">
        <v>46721</v>
      </c>
      <c r="M7" s="26" t="str">
        <f t="shared" si="0"/>
        <v>✔ Del 01/03/2027 al 30/11/2027 (275 días)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28"/>
      <c r="AB7" t="str">
        <f t="shared" si="1"/>
        <v>Varios días</v>
      </c>
      <c r="AC7">
        <f t="shared" si="2"/>
        <v>0</v>
      </c>
      <c r="AD7">
        <f t="shared" si="3"/>
        <v>1</v>
      </c>
      <c r="AE7" t="str">
        <f t="shared" si="4"/>
        <v/>
      </c>
      <c r="AF7">
        <f t="shared" si="5"/>
        <v>1</v>
      </c>
      <c r="AG7">
        <f t="shared" si="6"/>
        <v>0</v>
      </c>
      <c r="AH7" t="str">
        <f t="shared" si="7"/>
        <v/>
      </c>
      <c r="AI7" t="str">
        <f t="shared" si="8"/>
        <v>Del 01/03/2027 al 30/11/2027 (275 días)</v>
      </c>
    </row>
    <row r="9" spans="1:35" x14ac:dyDescent="0.25">
      <c r="A9" s="2" t="s">
        <v>105</v>
      </c>
    </row>
  </sheetData>
  <sheetProtection sheet="1" objects="1" scenarios="1"/>
  <conditionalFormatting sqref="M2:M7">
    <cfRule type="expression" dxfId="2" priority="1" stopIfTrue="1">
      <formula>LEFT($M2,1)="⚠"</formula>
    </cfRule>
    <cfRule type="expression" dxfId="1" priority="2" stopIfTrue="1">
      <formula>AND(LEFT($M2,1)="✔",ISNUMBER(SEARCH("⚠",$M2)))</formula>
    </cfRule>
    <cfRule type="expression" dxfId="0" priority="3">
      <formula>LEFT($M2,1)="✔"</formula>
    </cfRule>
  </conditionalFormatting>
  <dataValidations count="8">
    <dataValidation type="list" allowBlank="1" showErrorMessage="1" errorTitle="Categoría" error="Elija la categoría de la lista desplegable." sqref="B2:B7" xr:uid="{00000000-0002-0000-0300-000000000000}">
      <formula1>Lista_Categoria</formula1>
    </dataValidation>
    <dataValidation type="list" allowBlank="1" showErrorMessage="1" errorTitle="Sede" error="Elija la sede de la lista desplegable." sqref="F2:F7" xr:uid="{00000000-0002-0000-0300-000001000000}">
      <formula1>Lista_Sede</formula1>
    </dataValidation>
    <dataValidation type="list" allowBlank="1" showInputMessage="1" showErrorMessage="1" errorTitle="¿Se repite?" error="Elija una opción de la lista desplegable." promptTitle="¿Se repite?" prompt="Déjelo vacío si no se repite. Si se repite, elija cada cuánto y escriba en «Hasta» la última fecha." sqref="J2:J7" xr:uid="{00000000-0002-0000-0300-000002000000}">
      <formula1>Lista_Repite</formula1>
    </dataValidation>
    <dataValidation type="time" allowBlank="1" showErrorMessage="1" errorTitle="Hora" error="Escriba la hora como hh:mm, por ejemplo 08:00 o 14:30." sqref="H2:I7" xr:uid="{00000000-0002-0000-0300-000003000000}">
      <formula1>TIME(0,0,0)</formula1>
      <formula2>TIME(23,59,59)</formula2>
    </dataValidation>
    <dataValidation type="date" allowBlank="1" showInputMessage="1" showErrorMessage="1" errorTitle="Fecha" error="Escriba una fecha real como dd/mm/aaaa (ej. 03/02/2027)." promptTitle="Desde" prompt="Fecha de la actividad, o la primera fecha si se repite. Ej. 03/02/2027." sqref="K2:K7" xr:uid="{00000000-0002-0000-0300-000004000000}">
      <formula1>DATE(2026,1,1)</formula1>
      <formula2>DATE(2028,12,31)</formula2>
    </dataValidation>
    <dataValidation type="date" operator="greaterThanOrEqual" allowBlank="1" showInputMessage="1" showErrorMessage="1" errorTitle="Fecha" error="Debe ser una fecha igual o posterior a «Desde», como dd/mm/aaaa." promptTitle="Hasta" prompt="Solo si dura varios días o se repite: la última fecha." sqref="L2:L7" xr:uid="{00000000-0002-0000-0300-000005000000}">
      <formula1>K2</formula1>
    </dataValidation>
    <dataValidation type="date" allowBlank="1" showInputMessage="1" showErrorMessage="1" errorTitle="Fecha" error="Escriba una fecha real como dd/mm/aaaa, una por casilla." promptTitle="Fechas específicas" prompt="Solo si eligió «En fechas específicas»: una fecha por casilla." sqref="N2:Y7" xr:uid="{00000000-0002-0000-0300-000006000000}">
      <formula1>DATE(2026,1,1)</formula1>
      <formula2>DATE(2028,12,31)</formula2>
    </dataValidation>
    <dataValidation type="list" allowBlank="1" showInputMessage="1" showErrorMessage="1" errorTitle="Calendario" error="Elija Académico o Administrativo en la lista desplegable." sqref="E2:E7" xr:uid="{5E3F35A4-7633-4F2A-9E46-BE3DB13544B3}">
      <formula1>Lista_Calendario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32"/>
  <sheetViews>
    <sheetView workbookViewId="0"/>
  </sheetViews>
  <sheetFormatPr baseColWidth="10" defaultColWidth="9.140625" defaultRowHeight="15" x14ac:dyDescent="0.25"/>
  <cols>
    <col min="1" max="6" width="30" customWidth="1"/>
  </cols>
  <sheetData>
    <row r="1" spans="1:8" x14ac:dyDescent="0.25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33" t="s">
        <v>139</v>
      </c>
      <c r="H1" s="33" t="s">
        <v>155</v>
      </c>
    </row>
    <row r="2" spans="1:8" x14ac:dyDescent="0.25">
      <c r="A2" s="5" t="s">
        <v>89</v>
      </c>
      <c r="B2" s="5" t="s">
        <v>90</v>
      </c>
      <c r="C2" s="5" t="s">
        <v>112</v>
      </c>
      <c r="D2" s="5" t="s">
        <v>113</v>
      </c>
      <c r="E2" s="32">
        <v>46023</v>
      </c>
      <c r="F2" s="5">
        <v>0</v>
      </c>
      <c r="G2" t="s">
        <v>140</v>
      </c>
      <c r="H2" t="s">
        <v>113</v>
      </c>
    </row>
    <row r="3" spans="1:8" x14ac:dyDescent="0.25">
      <c r="A3" s="5" t="s">
        <v>98</v>
      </c>
      <c r="B3" s="5" t="s">
        <v>114</v>
      </c>
      <c r="C3" s="5" t="s">
        <v>96</v>
      </c>
      <c r="D3" s="5" t="s">
        <v>115</v>
      </c>
      <c r="E3" s="32">
        <v>46034</v>
      </c>
      <c r="F3" s="5">
        <v>1</v>
      </c>
      <c r="G3" t="s">
        <v>141</v>
      </c>
      <c r="H3" t="s">
        <v>115</v>
      </c>
    </row>
    <row r="4" spans="1:8" x14ac:dyDescent="0.25">
      <c r="A4" s="5" t="s">
        <v>116</v>
      </c>
      <c r="B4" s="5" t="s">
        <v>86</v>
      </c>
      <c r="C4" s="5" t="s">
        <v>117</v>
      </c>
      <c r="D4" s="5" t="s">
        <v>118</v>
      </c>
      <c r="E4" s="32">
        <v>46104</v>
      </c>
      <c r="F4" s="5">
        <v>2</v>
      </c>
      <c r="H4" t="s">
        <v>118</v>
      </c>
    </row>
    <row r="5" spans="1:8" x14ac:dyDescent="0.25">
      <c r="A5" s="5" t="s">
        <v>94</v>
      </c>
      <c r="B5" s="5" t="s">
        <v>119</v>
      </c>
      <c r="C5" s="5" t="s">
        <v>92</v>
      </c>
      <c r="E5" s="32">
        <v>46114</v>
      </c>
      <c r="F5" s="5">
        <v>3</v>
      </c>
      <c r="H5" t="s">
        <v>156</v>
      </c>
    </row>
    <row r="6" spans="1:8" x14ac:dyDescent="0.25">
      <c r="A6" s="5" t="s">
        <v>120</v>
      </c>
      <c r="B6" s="5" t="s">
        <v>121</v>
      </c>
      <c r="C6" s="5" t="s">
        <v>122</v>
      </c>
      <c r="E6" s="32">
        <v>46115</v>
      </c>
      <c r="F6" s="5">
        <v>4</v>
      </c>
      <c r="H6" t="s">
        <v>157</v>
      </c>
    </row>
    <row r="7" spans="1:8" x14ac:dyDescent="0.25">
      <c r="A7" s="5" t="s">
        <v>123</v>
      </c>
      <c r="B7" s="5" t="s">
        <v>83</v>
      </c>
      <c r="C7" s="5" t="s">
        <v>124</v>
      </c>
      <c r="E7" s="32">
        <v>46143</v>
      </c>
      <c r="F7" s="5">
        <v>5</v>
      </c>
      <c r="H7" t="s">
        <v>158</v>
      </c>
    </row>
    <row r="8" spans="1:8" x14ac:dyDescent="0.25">
      <c r="A8" s="5" t="s">
        <v>125</v>
      </c>
      <c r="B8" s="5" t="s">
        <v>126</v>
      </c>
      <c r="C8" s="5" t="s">
        <v>127</v>
      </c>
      <c r="E8" s="32">
        <v>46160</v>
      </c>
      <c r="F8" s="5">
        <v>6</v>
      </c>
      <c r="H8" t="s">
        <v>159</v>
      </c>
    </row>
    <row r="9" spans="1:8" x14ac:dyDescent="0.25">
      <c r="A9" s="5" t="s">
        <v>128</v>
      </c>
      <c r="B9" s="5" t="s">
        <v>138</v>
      </c>
      <c r="C9" s="5" t="s">
        <v>100</v>
      </c>
      <c r="E9" s="32">
        <v>46181</v>
      </c>
      <c r="F9" s="5">
        <v>7</v>
      </c>
      <c r="H9" t="s">
        <v>160</v>
      </c>
    </row>
    <row r="10" spans="1:8" x14ac:dyDescent="0.25">
      <c r="A10" s="5" t="s">
        <v>129</v>
      </c>
      <c r="B10" s="5" t="s">
        <v>103</v>
      </c>
      <c r="E10" s="32">
        <v>46188</v>
      </c>
      <c r="F10" s="5">
        <v>8</v>
      </c>
      <c r="H10" t="s">
        <v>161</v>
      </c>
    </row>
    <row r="11" spans="1:8" x14ac:dyDescent="0.25">
      <c r="A11" s="5" t="s">
        <v>82</v>
      </c>
      <c r="E11" s="32">
        <v>46202</v>
      </c>
      <c r="F11" s="5">
        <v>9</v>
      </c>
      <c r="H11" t="s">
        <v>162</v>
      </c>
    </row>
    <row r="12" spans="1:8" x14ac:dyDescent="0.25">
      <c r="A12" s="5" t="s">
        <v>130</v>
      </c>
      <c r="E12" s="32">
        <v>46223</v>
      </c>
      <c r="F12" s="5">
        <v>10</v>
      </c>
      <c r="H12" t="s">
        <v>163</v>
      </c>
    </row>
    <row r="13" spans="1:8" x14ac:dyDescent="0.25">
      <c r="A13" s="5" t="s">
        <v>131</v>
      </c>
      <c r="E13" s="32">
        <v>46241</v>
      </c>
      <c r="F13" s="5">
        <v>11</v>
      </c>
      <c r="H13" t="s">
        <v>164</v>
      </c>
    </row>
    <row r="14" spans="1:8" x14ac:dyDescent="0.25">
      <c r="A14" s="5" t="s">
        <v>102</v>
      </c>
      <c r="E14" s="32">
        <v>46251</v>
      </c>
      <c r="F14" s="5">
        <v>12</v>
      </c>
      <c r="H14" t="s">
        <v>165</v>
      </c>
    </row>
    <row r="15" spans="1:8" x14ac:dyDescent="0.25">
      <c r="A15" s="5" t="s">
        <v>132</v>
      </c>
      <c r="E15" s="32">
        <v>46307</v>
      </c>
      <c r="F15" s="5">
        <v>13</v>
      </c>
      <c r="H15" t="s">
        <v>166</v>
      </c>
    </row>
    <row r="16" spans="1:8" x14ac:dyDescent="0.25">
      <c r="A16" s="5" t="s">
        <v>133</v>
      </c>
      <c r="E16" s="32">
        <v>46328</v>
      </c>
      <c r="F16" s="5">
        <v>14</v>
      </c>
      <c r="H16" t="s">
        <v>167</v>
      </c>
    </row>
    <row r="17" spans="1:8" x14ac:dyDescent="0.25">
      <c r="A17" s="5" t="s">
        <v>134</v>
      </c>
      <c r="E17" s="32">
        <v>46342</v>
      </c>
      <c r="F17" s="5">
        <v>15</v>
      </c>
      <c r="H17" t="s">
        <v>168</v>
      </c>
    </row>
    <row r="18" spans="1:8" x14ac:dyDescent="0.25">
      <c r="A18" s="5" t="s">
        <v>135</v>
      </c>
      <c r="E18" s="32">
        <v>46364</v>
      </c>
      <c r="F18" s="5">
        <v>16</v>
      </c>
      <c r="H18" t="s">
        <v>169</v>
      </c>
    </row>
    <row r="19" spans="1:8" x14ac:dyDescent="0.25">
      <c r="A19" s="5" t="s">
        <v>136</v>
      </c>
      <c r="E19" s="32">
        <v>46381</v>
      </c>
      <c r="F19" s="5">
        <v>17</v>
      </c>
      <c r="H19" t="s">
        <v>170</v>
      </c>
    </row>
    <row r="20" spans="1:8" x14ac:dyDescent="0.25">
      <c r="A20" s="5" t="s">
        <v>137</v>
      </c>
      <c r="E20" s="32">
        <v>46388</v>
      </c>
      <c r="F20" s="5">
        <v>18</v>
      </c>
      <c r="H20" t="s">
        <v>171</v>
      </c>
    </row>
    <row r="21" spans="1:8" x14ac:dyDescent="0.25">
      <c r="E21" s="32">
        <v>46398</v>
      </c>
      <c r="F21" s="5">
        <v>19</v>
      </c>
      <c r="H21" t="s">
        <v>172</v>
      </c>
    </row>
    <row r="22" spans="1:8" x14ac:dyDescent="0.25">
      <c r="E22" s="32">
        <v>46468</v>
      </c>
      <c r="F22" s="5">
        <v>20</v>
      </c>
      <c r="H22" t="s">
        <v>173</v>
      </c>
    </row>
    <row r="23" spans="1:8" x14ac:dyDescent="0.25">
      <c r="E23" s="32">
        <v>46471</v>
      </c>
      <c r="F23" s="5">
        <v>21</v>
      </c>
      <c r="H23" t="s">
        <v>174</v>
      </c>
    </row>
    <row r="24" spans="1:8" x14ac:dyDescent="0.25">
      <c r="E24" s="32">
        <v>46472</v>
      </c>
      <c r="F24" s="5">
        <v>22</v>
      </c>
      <c r="H24" t="s">
        <v>175</v>
      </c>
    </row>
    <row r="25" spans="1:8" x14ac:dyDescent="0.25">
      <c r="E25" s="32">
        <v>46508</v>
      </c>
      <c r="F25" s="5">
        <v>23</v>
      </c>
      <c r="H25" t="s">
        <v>176</v>
      </c>
    </row>
    <row r="26" spans="1:8" x14ac:dyDescent="0.25">
      <c r="E26" s="32">
        <v>46517</v>
      </c>
      <c r="F26" s="5">
        <v>24</v>
      </c>
      <c r="H26" t="s">
        <v>177</v>
      </c>
    </row>
    <row r="27" spans="1:8" x14ac:dyDescent="0.25">
      <c r="E27" s="32">
        <v>46538</v>
      </c>
      <c r="F27" s="5">
        <v>25</v>
      </c>
      <c r="H27" t="s">
        <v>178</v>
      </c>
    </row>
    <row r="28" spans="1:8" x14ac:dyDescent="0.25">
      <c r="E28" s="32">
        <v>46545</v>
      </c>
      <c r="F28" s="5">
        <v>26</v>
      </c>
      <c r="H28" t="s">
        <v>179</v>
      </c>
    </row>
    <row r="29" spans="1:8" x14ac:dyDescent="0.25">
      <c r="E29" s="32">
        <v>46573</v>
      </c>
      <c r="F29" s="5">
        <v>27</v>
      </c>
      <c r="H29" t="s">
        <v>180</v>
      </c>
    </row>
    <row r="30" spans="1:8" x14ac:dyDescent="0.25">
      <c r="E30" s="32">
        <v>46588</v>
      </c>
      <c r="F30" s="5">
        <v>28</v>
      </c>
      <c r="H30" t="s">
        <v>181</v>
      </c>
    </row>
    <row r="31" spans="1:8" x14ac:dyDescent="0.25">
      <c r="E31" s="32">
        <v>46606</v>
      </c>
      <c r="F31" s="5">
        <v>29</v>
      </c>
      <c r="H31" t="s">
        <v>149</v>
      </c>
    </row>
    <row r="32" spans="1:8" x14ac:dyDescent="0.25">
      <c r="E32" s="32">
        <v>46615</v>
      </c>
      <c r="F32" s="5">
        <v>30</v>
      </c>
      <c r="H32" t="s">
        <v>182</v>
      </c>
    </row>
    <row r="33" spans="5:8" x14ac:dyDescent="0.25">
      <c r="E33" s="32">
        <v>46678</v>
      </c>
      <c r="F33" s="5">
        <v>31</v>
      </c>
      <c r="H33" t="s">
        <v>183</v>
      </c>
    </row>
    <row r="34" spans="5:8" x14ac:dyDescent="0.25">
      <c r="E34" s="32">
        <v>46692</v>
      </c>
      <c r="F34" s="5">
        <v>32</v>
      </c>
      <c r="H34" t="s">
        <v>184</v>
      </c>
    </row>
    <row r="35" spans="5:8" x14ac:dyDescent="0.25">
      <c r="E35" s="32">
        <v>46706</v>
      </c>
      <c r="F35" s="5">
        <v>33</v>
      </c>
      <c r="H35" t="s">
        <v>185</v>
      </c>
    </row>
    <row r="36" spans="5:8" x14ac:dyDescent="0.25">
      <c r="E36" s="32">
        <v>46729</v>
      </c>
      <c r="F36" s="5">
        <v>34</v>
      </c>
      <c r="H36" t="s">
        <v>186</v>
      </c>
    </row>
    <row r="37" spans="5:8" x14ac:dyDescent="0.25">
      <c r="E37" s="32">
        <v>46746</v>
      </c>
      <c r="F37" s="5">
        <v>35</v>
      </c>
      <c r="H37" t="s">
        <v>187</v>
      </c>
    </row>
    <row r="38" spans="5:8" x14ac:dyDescent="0.25">
      <c r="E38" s="32">
        <v>46753</v>
      </c>
      <c r="F38" s="5">
        <v>36</v>
      </c>
      <c r="H38" t="s">
        <v>188</v>
      </c>
    </row>
    <row r="39" spans="5:8" x14ac:dyDescent="0.25">
      <c r="E39" s="32">
        <v>46762</v>
      </c>
      <c r="F39" s="5">
        <v>37</v>
      </c>
      <c r="H39" t="s">
        <v>189</v>
      </c>
    </row>
    <row r="40" spans="5:8" x14ac:dyDescent="0.25">
      <c r="E40" s="32">
        <v>46832</v>
      </c>
      <c r="F40" s="5">
        <v>38</v>
      </c>
      <c r="H40" t="s">
        <v>190</v>
      </c>
    </row>
    <row r="41" spans="5:8" x14ac:dyDescent="0.25">
      <c r="E41" s="32">
        <v>46856</v>
      </c>
      <c r="F41" s="5">
        <v>39</v>
      </c>
      <c r="H41" t="s">
        <v>191</v>
      </c>
    </row>
    <row r="42" spans="5:8" x14ac:dyDescent="0.25">
      <c r="E42" s="32">
        <v>46857</v>
      </c>
      <c r="F42" s="5">
        <v>40</v>
      </c>
      <c r="H42" t="s">
        <v>192</v>
      </c>
    </row>
    <row r="43" spans="5:8" x14ac:dyDescent="0.25">
      <c r="E43" s="32">
        <v>46874</v>
      </c>
      <c r="F43" s="5">
        <v>41</v>
      </c>
      <c r="H43" t="s">
        <v>193</v>
      </c>
    </row>
    <row r="44" spans="5:8" x14ac:dyDescent="0.25">
      <c r="E44" s="32">
        <v>46902</v>
      </c>
      <c r="F44" s="5">
        <v>42</v>
      </c>
      <c r="H44" t="s">
        <v>194</v>
      </c>
    </row>
    <row r="45" spans="5:8" x14ac:dyDescent="0.25">
      <c r="E45" s="32">
        <v>46923</v>
      </c>
      <c r="F45" s="5">
        <v>43</v>
      </c>
      <c r="H45" t="s">
        <v>195</v>
      </c>
    </row>
    <row r="46" spans="5:8" x14ac:dyDescent="0.25">
      <c r="E46" s="32">
        <v>46930</v>
      </c>
      <c r="F46" s="5">
        <v>44</v>
      </c>
      <c r="H46" t="s">
        <v>196</v>
      </c>
    </row>
    <row r="47" spans="5:8" x14ac:dyDescent="0.25">
      <c r="E47" s="32">
        <v>46937</v>
      </c>
      <c r="F47" s="5">
        <v>45</v>
      </c>
      <c r="H47" t="s">
        <v>197</v>
      </c>
    </row>
    <row r="48" spans="5:8" x14ac:dyDescent="0.25">
      <c r="E48" s="32">
        <v>46954</v>
      </c>
      <c r="F48" s="5">
        <v>46</v>
      </c>
      <c r="H48" t="s">
        <v>198</v>
      </c>
    </row>
    <row r="49" spans="5:8" x14ac:dyDescent="0.25">
      <c r="E49" s="32">
        <v>46972</v>
      </c>
      <c r="F49" s="5">
        <v>47</v>
      </c>
      <c r="H49" t="s">
        <v>199</v>
      </c>
    </row>
    <row r="50" spans="5:8" x14ac:dyDescent="0.25">
      <c r="E50" s="32">
        <v>46986</v>
      </c>
      <c r="F50" s="5">
        <v>48</v>
      </c>
      <c r="H50" t="s">
        <v>200</v>
      </c>
    </row>
    <row r="51" spans="5:8" x14ac:dyDescent="0.25">
      <c r="E51" s="32">
        <v>47042</v>
      </c>
      <c r="F51" s="5">
        <v>49</v>
      </c>
      <c r="H51" t="s">
        <v>201</v>
      </c>
    </row>
    <row r="52" spans="5:8" x14ac:dyDescent="0.25">
      <c r="E52" s="32">
        <v>47063</v>
      </c>
      <c r="F52" s="5">
        <v>50</v>
      </c>
      <c r="H52" t="s">
        <v>202</v>
      </c>
    </row>
    <row r="53" spans="5:8" x14ac:dyDescent="0.25">
      <c r="E53" s="32">
        <v>47070</v>
      </c>
      <c r="F53" s="5">
        <v>51</v>
      </c>
      <c r="H53" t="s">
        <v>203</v>
      </c>
    </row>
    <row r="54" spans="5:8" x14ac:dyDescent="0.25">
      <c r="E54" s="32">
        <v>47095</v>
      </c>
      <c r="F54" s="5">
        <v>52</v>
      </c>
      <c r="H54" t="s">
        <v>147</v>
      </c>
    </row>
    <row r="55" spans="5:8" x14ac:dyDescent="0.25">
      <c r="E55" s="32">
        <v>47112</v>
      </c>
      <c r="F55" s="5">
        <v>53</v>
      </c>
      <c r="H55" t="s">
        <v>204</v>
      </c>
    </row>
    <row r="56" spans="5:8" x14ac:dyDescent="0.25">
      <c r="F56" s="5">
        <v>54</v>
      </c>
      <c r="H56" t="s">
        <v>151</v>
      </c>
    </row>
    <row r="57" spans="5:8" x14ac:dyDescent="0.25">
      <c r="F57" s="5">
        <v>55</v>
      </c>
      <c r="H57" t="s">
        <v>205</v>
      </c>
    </row>
    <row r="58" spans="5:8" x14ac:dyDescent="0.25">
      <c r="F58" s="5">
        <v>56</v>
      </c>
      <c r="H58" t="s">
        <v>206</v>
      </c>
    </row>
    <row r="59" spans="5:8" x14ac:dyDescent="0.25">
      <c r="F59" s="5">
        <v>57</v>
      </c>
      <c r="H59" t="s">
        <v>207</v>
      </c>
    </row>
    <row r="60" spans="5:8" x14ac:dyDescent="0.25">
      <c r="F60" s="5">
        <v>58</v>
      </c>
      <c r="H60" t="s">
        <v>208</v>
      </c>
    </row>
    <row r="61" spans="5:8" x14ac:dyDescent="0.25">
      <c r="F61" s="5">
        <v>59</v>
      </c>
      <c r="H61" t="s">
        <v>209</v>
      </c>
    </row>
    <row r="62" spans="5:8" x14ac:dyDescent="0.25">
      <c r="F62" s="5">
        <v>60</v>
      </c>
      <c r="H62" t="s">
        <v>210</v>
      </c>
    </row>
    <row r="63" spans="5:8" x14ac:dyDescent="0.25">
      <c r="F63" s="5">
        <v>61</v>
      </c>
    </row>
    <row r="64" spans="5:8" x14ac:dyDescent="0.25">
      <c r="F64" s="5">
        <v>62</v>
      </c>
    </row>
    <row r="65" spans="6:6" x14ac:dyDescent="0.25">
      <c r="F65" s="5">
        <v>63</v>
      </c>
    </row>
    <row r="66" spans="6:6" x14ac:dyDescent="0.25">
      <c r="F66" s="5">
        <v>64</v>
      </c>
    </row>
    <row r="67" spans="6:6" x14ac:dyDescent="0.25">
      <c r="F67" s="5">
        <v>65</v>
      </c>
    </row>
    <row r="68" spans="6:6" x14ac:dyDescent="0.25">
      <c r="F68" s="5">
        <v>66</v>
      </c>
    </row>
    <row r="69" spans="6:6" x14ac:dyDescent="0.25">
      <c r="F69" s="5">
        <v>67</v>
      </c>
    </row>
    <row r="70" spans="6:6" x14ac:dyDescent="0.25">
      <c r="F70" s="5">
        <v>68</v>
      </c>
    </row>
    <row r="71" spans="6:6" x14ac:dyDescent="0.25">
      <c r="F71" s="5">
        <v>69</v>
      </c>
    </row>
    <row r="72" spans="6:6" x14ac:dyDescent="0.25">
      <c r="F72" s="5">
        <v>70</v>
      </c>
    </row>
    <row r="73" spans="6:6" x14ac:dyDescent="0.25">
      <c r="F73" s="5">
        <v>71</v>
      </c>
    </row>
    <row r="74" spans="6:6" x14ac:dyDescent="0.25">
      <c r="F74" s="5">
        <v>72</v>
      </c>
    </row>
    <row r="75" spans="6:6" x14ac:dyDescent="0.25">
      <c r="F75" s="5">
        <v>73</v>
      </c>
    </row>
    <row r="76" spans="6:6" x14ac:dyDescent="0.25">
      <c r="F76" s="5">
        <v>74</v>
      </c>
    </row>
    <row r="77" spans="6:6" x14ac:dyDescent="0.25">
      <c r="F77" s="5">
        <v>75</v>
      </c>
    </row>
    <row r="78" spans="6:6" x14ac:dyDescent="0.25">
      <c r="F78" s="5">
        <v>76</v>
      </c>
    </row>
    <row r="79" spans="6:6" x14ac:dyDescent="0.25">
      <c r="F79" s="5">
        <v>77</v>
      </c>
    </row>
    <row r="80" spans="6:6" x14ac:dyDescent="0.25">
      <c r="F80" s="5">
        <v>78</v>
      </c>
    </row>
    <row r="81" spans="6:6" x14ac:dyDescent="0.25">
      <c r="F81" s="5">
        <v>79</v>
      </c>
    </row>
    <row r="82" spans="6:6" x14ac:dyDescent="0.25">
      <c r="F82" s="5">
        <v>80</v>
      </c>
    </row>
    <row r="83" spans="6:6" x14ac:dyDescent="0.25">
      <c r="F83" s="5">
        <v>81</v>
      </c>
    </row>
    <row r="84" spans="6:6" x14ac:dyDescent="0.25">
      <c r="F84" s="5">
        <v>82</v>
      </c>
    </row>
    <row r="85" spans="6:6" x14ac:dyDescent="0.25">
      <c r="F85" s="5">
        <v>83</v>
      </c>
    </row>
    <row r="86" spans="6:6" x14ac:dyDescent="0.25">
      <c r="F86" s="5">
        <v>84</v>
      </c>
    </row>
    <row r="87" spans="6:6" x14ac:dyDescent="0.25">
      <c r="F87" s="5">
        <v>85</v>
      </c>
    </row>
    <row r="88" spans="6:6" x14ac:dyDescent="0.25">
      <c r="F88" s="5">
        <v>86</v>
      </c>
    </row>
    <row r="89" spans="6:6" x14ac:dyDescent="0.25">
      <c r="F89" s="5">
        <v>87</v>
      </c>
    </row>
    <row r="90" spans="6:6" x14ac:dyDescent="0.25">
      <c r="F90" s="5">
        <v>88</v>
      </c>
    </row>
    <row r="91" spans="6:6" x14ac:dyDescent="0.25">
      <c r="F91" s="5">
        <v>89</v>
      </c>
    </row>
    <row r="92" spans="6:6" x14ac:dyDescent="0.25">
      <c r="F92" s="5">
        <v>90</v>
      </c>
    </row>
    <row r="93" spans="6:6" x14ac:dyDescent="0.25">
      <c r="F93" s="5">
        <v>91</v>
      </c>
    </row>
    <row r="94" spans="6:6" x14ac:dyDescent="0.25">
      <c r="F94" s="5">
        <v>92</v>
      </c>
    </row>
    <row r="95" spans="6:6" x14ac:dyDescent="0.25">
      <c r="F95" s="5">
        <v>93</v>
      </c>
    </row>
    <row r="96" spans="6:6" x14ac:dyDescent="0.25">
      <c r="F96" s="5">
        <v>94</v>
      </c>
    </row>
    <row r="97" spans="6:6" x14ac:dyDescent="0.25">
      <c r="F97" s="5">
        <v>95</v>
      </c>
    </row>
    <row r="98" spans="6:6" x14ac:dyDescent="0.25">
      <c r="F98" s="5">
        <v>96</v>
      </c>
    </row>
    <row r="99" spans="6:6" x14ac:dyDescent="0.25">
      <c r="F99" s="5">
        <v>97</v>
      </c>
    </row>
    <row r="100" spans="6:6" x14ac:dyDescent="0.25">
      <c r="F100" s="5">
        <v>98</v>
      </c>
    </row>
    <row r="101" spans="6:6" x14ac:dyDescent="0.25">
      <c r="F101" s="5">
        <v>99</v>
      </c>
    </row>
    <row r="102" spans="6:6" x14ac:dyDescent="0.25">
      <c r="F102" s="5">
        <v>100</v>
      </c>
    </row>
    <row r="103" spans="6:6" x14ac:dyDescent="0.25">
      <c r="F103" s="5">
        <v>101</v>
      </c>
    </row>
    <row r="104" spans="6:6" x14ac:dyDescent="0.25">
      <c r="F104" s="5">
        <v>102</v>
      </c>
    </row>
    <row r="105" spans="6:6" x14ac:dyDescent="0.25">
      <c r="F105" s="5">
        <v>103</v>
      </c>
    </row>
    <row r="106" spans="6:6" x14ac:dyDescent="0.25">
      <c r="F106" s="5">
        <v>104</v>
      </c>
    </row>
    <row r="107" spans="6:6" x14ac:dyDescent="0.25">
      <c r="F107" s="5">
        <v>105</v>
      </c>
    </row>
    <row r="108" spans="6:6" x14ac:dyDescent="0.25">
      <c r="F108" s="5">
        <v>106</v>
      </c>
    </row>
    <row r="109" spans="6:6" x14ac:dyDescent="0.25">
      <c r="F109" s="5">
        <v>107</v>
      </c>
    </row>
    <row r="110" spans="6:6" x14ac:dyDescent="0.25">
      <c r="F110" s="5">
        <v>108</v>
      </c>
    </row>
    <row r="111" spans="6:6" x14ac:dyDescent="0.25">
      <c r="F111" s="5">
        <v>109</v>
      </c>
    </row>
    <row r="112" spans="6:6" x14ac:dyDescent="0.25">
      <c r="F112" s="5">
        <v>110</v>
      </c>
    </row>
    <row r="113" spans="6:6" x14ac:dyDescent="0.25">
      <c r="F113" s="5">
        <v>111</v>
      </c>
    </row>
    <row r="114" spans="6:6" x14ac:dyDescent="0.25">
      <c r="F114" s="5">
        <v>112</v>
      </c>
    </row>
    <row r="115" spans="6:6" x14ac:dyDescent="0.25">
      <c r="F115" s="5">
        <v>113</v>
      </c>
    </row>
    <row r="116" spans="6:6" x14ac:dyDescent="0.25">
      <c r="F116" s="5">
        <v>114</v>
      </c>
    </row>
    <row r="117" spans="6:6" x14ac:dyDescent="0.25">
      <c r="F117" s="5">
        <v>115</v>
      </c>
    </row>
    <row r="118" spans="6:6" x14ac:dyDescent="0.25">
      <c r="F118" s="5">
        <v>116</v>
      </c>
    </row>
    <row r="119" spans="6:6" x14ac:dyDescent="0.25">
      <c r="F119" s="5">
        <v>117</v>
      </c>
    </row>
    <row r="120" spans="6:6" x14ac:dyDescent="0.25">
      <c r="F120" s="5">
        <v>118</v>
      </c>
    </row>
    <row r="121" spans="6:6" x14ac:dyDescent="0.25">
      <c r="F121" s="5">
        <v>119</v>
      </c>
    </row>
    <row r="122" spans="6:6" x14ac:dyDescent="0.25">
      <c r="F122" s="5">
        <v>120</v>
      </c>
    </row>
    <row r="123" spans="6:6" x14ac:dyDescent="0.25">
      <c r="F123" s="5">
        <v>121</v>
      </c>
    </row>
    <row r="124" spans="6:6" x14ac:dyDescent="0.25">
      <c r="F124" s="5">
        <v>122</v>
      </c>
    </row>
    <row r="125" spans="6:6" x14ac:dyDescent="0.25">
      <c r="F125" s="5">
        <v>123</v>
      </c>
    </row>
    <row r="126" spans="6:6" x14ac:dyDescent="0.25">
      <c r="F126" s="5">
        <v>124</v>
      </c>
    </row>
    <row r="127" spans="6:6" x14ac:dyDescent="0.25">
      <c r="F127" s="5">
        <v>125</v>
      </c>
    </row>
    <row r="128" spans="6:6" x14ac:dyDescent="0.25">
      <c r="F128" s="5">
        <v>126</v>
      </c>
    </row>
    <row r="129" spans="6:6" x14ac:dyDescent="0.25">
      <c r="F129" s="5">
        <v>127</v>
      </c>
    </row>
    <row r="130" spans="6:6" x14ac:dyDescent="0.25">
      <c r="F130" s="5">
        <v>128</v>
      </c>
    </row>
    <row r="131" spans="6:6" x14ac:dyDescent="0.25">
      <c r="F131" s="5">
        <v>129</v>
      </c>
    </row>
    <row r="132" spans="6:6" x14ac:dyDescent="0.25">
      <c r="F132" s="5">
        <v>130</v>
      </c>
    </row>
    <row r="133" spans="6:6" x14ac:dyDescent="0.25">
      <c r="F133" s="5">
        <v>131</v>
      </c>
    </row>
    <row r="134" spans="6:6" x14ac:dyDescent="0.25">
      <c r="F134" s="5">
        <v>132</v>
      </c>
    </row>
    <row r="135" spans="6:6" x14ac:dyDescent="0.25">
      <c r="F135" s="5">
        <v>133</v>
      </c>
    </row>
    <row r="136" spans="6:6" x14ac:dyDescent="0.25">
      <c r="F136" s="5">
        <v>134</v>
      </c>
    </row>
    <row r="137" spans="6:6" x14ac:dyDescent="0.25">
      <c r="F137" s="5">
        <v>135</v>
      </c>
    </row>
    <row r="138" spans="6:6" x14ac:dyDescent="0.25">
      <c r="F138" s="5">
        <v>136</v>
      </c>
    </row>
    <row r="139" spans="6:6" x14ac:dyDescent="0.25">
      <c r="F139" s="5">
        <v>137</v>
      </c>
    </row>
    <row r="140" spans="6:6" x14ac:dyDescent="0.25">
      <c r="F140" s="5">
        <v>138</v>
      </c>
    </row>
    <row r="141" spans="6:6" x14ac:dyDescent="0.25">
      <c r="F141" s="5">
        <v>139</v>
      </c>
    </row>
    <row r="142" spans="6:6" x14ac:dyDescent="0.25">
      <c r="F142" s="5">
        <v>140</v>
      </c>
    </row>
    <row r="143" spans="6:6" x14ac:dyDescent="0.25">
      <c r="F143" s="5">
        <v>141</v>
      </c>
    </row>
    <row r="144" spans="6:6" x14ac:dyDescent="0.25">
      <c r="F144" s="5">
        <v>142</v>
      </c>
    </row>
    <row r="145" spans="6:6" x14ac:dyDescent="0.25">
      <c r="F145" s="5">
        <v>143</v>
      </c>
    </row>
    <row r="146" spans="6:6" x14ac:dyDescent="0.25">
      <c r="F146" s="5">
        <v>144</v>
      </c>
    </row>
    <row r="147" spans="6:6" x14ac:dyDescent="0.25">
      <c r="F147" s="5">
        <v>145</v>
      </c>
    </row>
    <row r="148" spans="6:6" x14ac:dyDescent="0.25">
      <c r="F148" s="5">
        <v>146</v>
      </c>
    </row>
    <row r="149" spans="6:6" x14ac:dyDescent="0.25">
      <c r="F149" s="5">
        <v>147</v>
      </c>
    </row>
    <row r="150" spans="6:6" x14ac:dyDescent="0.25">
      <c r="F150" s="5">
        <v>148</v>
      </c>
    </row>
    <row r="151" spans="6:6" x14ac:dyDescent="0.25">
      <c r="F151" s="5">
        <v>149</v>
      </c>
    </row>
    <row r="152" spans="6:6" x14ac:dyDescent="0.25">
      <c r="F152" s="5">
        <v>150</v>
      </c>
    </row>
    <row r="153" spans="6:6" x14ac:dyDescent="0.25">
      <c r="F153" s="5">
        <v>151</v>
      </c>
    </row>
    <row r="154" spans="6:6" x14ac:dyDescent="0.25">
      <c r="F154" s="5">
        <v>152</v>
      </c>
    </row>
    <row r="155" spans="6:6" x14ac:dyDescent="0.25">
      <c r="F155" s="5">
        <v>153</v>
      </c>
    </row>
    <row r="156" spans="6:6" x14ac:dyDescent="0.25">
      <c r="F156" s="5">
        <v>154</v>
      </c>
    </row>
    <row r="157" spans="6:6" x14ac:dyDescent="0.25">
      <c r="F157" s="5">
        <v>155</v>
      </c>
    </row>
    <row r="158" spans="6:6" x14ac:dyDescent="0.25">
      <c r="F158" s="5">
        <v>156</v>
      </c>
    </row>
    <row r="159" spans="6:6" x14ac:dyDescent="0.25">
      <c r="F159" s="5">
        <v>157</v>
      </c>
    </row>
    <row r="160" spans="6:6" x14ac:dyDescent="0.25">
      <c r="F160" s="5">
        <v>158</v>
      </c>
    </row>
    <row r="161" spans="6:6" x14ac:dyDescent="0.25">
      <c r="F161" s="5">
        <v>159</v>
      </c>
    </row>
    <row r="162" spans="6:6" x14ac:dyDescent="0.25">
      <c r="F162" s="5">
        <v>160</v>
      </c>
    </row>
    <row r="163" spans="6:6" x14ac:dyDescent="0.25">
      <c r="F163" s="5">
        <v>161</v>
      </c>
    </row>
    <row r="164" spans="6:6" x14ac:dyDescent="0.25">
      <c r="F164" s="5">
        <v>162</v>
      </c>
    </row>
    <row r="165" spans="6:6" x14ac:dyDescent="0.25">
      <c r="F165" s="5">
        <v>163</v>
      </c>
    </row>
    <row r="166" spans="6:6" x14ac:dyDescent="0.25">
      <c r="F166" s="5">
        <v>164</v>
      </c>
    </row>
    <row r="167" spans="6:6" x14ac:dyDescent="0.25">
      <c r="F167" s="5">
        <v>165</v>
      </c>
    </row>
    <row r="168" spans="6:6" x14ac:dyDescent="0.25">
      <c r="F168" s="5">
        <v>166</v>
      </c>
    </row>
    <row r="169" spans="6:6" x14ac:dyDescent="0.25">
      <c r="F169" s="5">
        <v>167</v>
      </c>
    </row>
    <row r="170" spans="6:6" x14ac:dyDescent="0.25">
      <c r="F170" s="5">
        <v>168</v>
      </c>
    </row>
    <row r="171" spans="6:6" x14ac:dyDescent="0.25">
      <c r="F171" s="5">
        <v>169</v>
      </c>
    </row>
    <row r="172" spans="6:6" x14ac:dyDescent="0.25">
      <c r="F172" s="5">
        <v>170</v>
      </c>
    </row>
    <row r="173" spans="6:6" x14ac:dyDescent="0.25">
      <c r="F173" s="5">
        <v>171</v>
      </c>
    </row>
    <row r="174" spans="6:6" x14ac:dyDescent="0.25">
      <c r="F174" s="5">
        <v>172</v>
      </c>
    </row>
    <row r="175" spans="6:6" x14ac:dyDescent="0.25">
      <c r="F175" s="5">
        <v>173</v>
      </c>
    </row>
    <row r="176" spans="6:6" x14ac:dyDescent="0.25">
      <c r="F176" s="5">
        <v>174</v>
      </c>
    </row>
    <row r="177" spans="6:6" x14ac:dyDescent="0.25">
      <c r="F177" s="5">
        <v>175</v>
      </c>
    </row>
    <row r="178" spans="6:6" x14ac:dyDescent="0.25">
      <c r="F178" s="5">
        <v>176</v>
      </c>
    </row>
    <row r="179" spans="6:6" x14ac:dyDescent="0.25">
      <c r="F179" s="5">
        <v>177</v>
      </c>
    </row>
    <row r="180" spans="6:6" x14ac:dyDescent="0.25">
      <c r="F180" s="5">
        <v>178</v>
      </c>
    </row>
    <row r="181" spans="6:6" x14ac:dyDescent="0.25">
      <c r="F181" s="5">
        <v>179</v>
      </c>
    </row>
    <row r="182" spans="6:6" x14ac:dyDescent="0.25">
      <c r="F182" s="5">
        <v>180</v>
      </c>
    </row>
    <row r="183" spans="6:6" x14ac:dyDescent="0.25">
      <c r="F183" s="5">
        <v>181</v>
      </c>
    </row>
    <row r="184" spans="6:6" x14ac:dyDescent="0.25">
      <c r="F184" s="5">
        <v>182</v>
      </c>
    </row>
    <row r="185" spans="6:6" x14ac:dyDescent="0.25">
      <c r="F185" s="5">
        <v>183</v>
      </c>
    </row>
    <row r="186" spans="6:6" x14ac:dyDescent="0.25">
      <c r="F186" s="5">
        <v>184</v>
      </c>
    </row>
    <row r="187" spans="6:6" x14ac:dyDescent="0.25">
      <c r="F187" s="5">
        <v>185</v>
      </c>
    </row>
    <row r="188" spans="6:6" x14ac:dyDescent="0.25">
      <c r="F188" s="5">
        <v>186</v>
      </c>
    </row>
    <row r="189" spans="6:6" x14ac:dyDescent="0.25">
      <c r="F189" s="5">
        <v>187</v>
      </c>
    </row>
    <row r="190" spans="6:6" x14ac:dyDescent="0.25">
      <c r="F190" s="5">
        <v>188</v>
      </c>
    </row>
    <row r="191" spans="6:6" x14ac:dyDescent="0.25">
      <c r="F191" s="5">
        <v>189</v>
      </c>
    </row>
    <row r="192" spans="6:6" x14ac:dyDescent="0.25">
      <c r="F192" s="5">
        <v>190</v>
      </c>
    </row>
    <row r="193" spans="6:6" x14ac:dyDescent="0.25">
      <c r="F193" s="5">
        <v>191</v>
      </c>
    </row>
    <row r="194" spans="6:6" x14ac:dyDescent="0.25">
      <c r="F194" s="5">
        <v>192</v>
      </c>
    </row>
    <row r="195" spans="6:6" x14ac:dyDescent="0.25">
      <c r="F195" s="5">
        <v>193</v>
      </c>
    </row>
    <row r="196" spans="6:6" x14ac:dyDescent="0.25">
      <c r="F196" s="5">
        <v>194</v>
      </c>
    </row>
    <row r="197" spans="6:6" x14ac:dyDescent="0.25">
      <c r="F197" s="5">
        <v>195</v>
      </c>
    </row>
    <row r="198" spans="6:6" x14ac:dyDescent="0.25">
      <c r="F198" s="5">
        <v>196</v>
      </c>
    </row>
    <row r="199" spans="6:6" x14ac:dyDescent="0.25">
      <c r="F199" s="5">
        <v>197</v>
      </c>
    </row>
    <row r="200" spans="6:6" x14ac:dyDescent="0.25">
      <c r="F200" s="5">
        <v>198</v>
      </c>
    </row>
    <row r="201" spans="6:6" x14ac:dyDescent="0.25">
      <c r="F201" s="5">
        <v>199</v>
      </c>
    </row>
    <row r="202" spans="6:6" x14ac:dyDescent="0.25">
      <c r="F202" s="5">
        <v>200</v>
      </c>
    </row>
    <row r="203" spans="6:6" x14ac:dyDescent="0.25">
      <c r="F203" s="5">
        <v>201</v>
      </c>
    </row>
    <row r="204" spans="6:6" x14ac:dyDescent="0.25">
      <c r="F204" s="5">
        <v>202</v>
      </c>
    </row>
    <row r="205" spans="6:6" x14ac:dyDescent="0.25">
      <c r="F205" s="5">
        <v>203</v>
      </c>
    </row>
    <row r="206" spans="6:6" x14ac:dyDescent="0.25">
      <c r="F206" s="5">
        <v>204</v>
      </c>
    </row>
    <row r="207" spans="6:6" x14ac:dyDescent="0.25">
      <c r="F207" s="5">
        <v>205</v>
      </c>
    </row>
    <row r="208" spans="6:6" x14ac:dyDescent="0.25">
      <c r="F208" s="5">
        <v>206</v>
      </c>
    </row>
    <row r="209" spans="6:6" x14ac:dyDescent="0.25">
      <c r="F209" s="5">
        <v>207</v>
      </c>
    </row>
    <row r="210" spans="6:6" x14ac:dyDescent="0.25">
      <c r="F210" s="5">
        <v>208</v>
      </c>
    </row>
    <row r="211" spans="6:6" x14ac:dyDescent="0.25">
      <c r="F211" s="5">
        <v>209</v>
      </c>
    </row>
    <row r="212" spans="6:6" x14ac:dyDescent="0.25">
      <c r="F212" s="5">
        <v>210</v>
      </c>
    </row>
    <row r="213" spans="6:6" x14ac:dyDescent="0.25">
      <c r="F213" s="5">
        <v>211</v>
      </c>
    </row>
    <row r="214" spans="6:6" x14ac:dyDescent="0.25">
      <c r="F214" s="5">
        <v>212</v>
      </c>
    </row>
    <row r="215" spans="6:6" x14ac:dyDescent="0.25">
      <c r="F215" s="5">
        <v>213</v>
      </c>
    </row>
    <row r="216" spans="6:6" x14ac:dyDescent="0.25">
      <c r="F216" s="5">
        <v>214</v>
      </c>
    </row>
    <row r="217" spans="6:6" x14ac:dyDescent="0.25">
      <c r="F217" s="5">
        <v>215</v>
      </c>
    </row>
    <row r="218" spans="6:6" x14ac:dyDescent="0.25">
      <c r="F218" s="5">
        <v>216</v>
      </c>
    </row>
    <row r="219" spans="6:6" x14ac:dyDescent="0.25">
      <c r="F219" s="5">
        <v>217</v>
      </c>
    </row>
    <row r="220" spans="6:6" x14ac:dyDescent="0.25">
      <c r="F220" s="5">
        <v>218</v>
      </c>
    </row>
    <row r="221" spans="6:6" x14ac:dyDescent="0.25">
      <c r="F221" s="5">
        <v>219</v>
      </c>
    </row>
    <row r="222" spans="6:6" x14ac:dyDescent="0.25">
      <c r="F222" s="5">
        <v>220</v>
      </c>
    </row>
    <row r="223" spans="6:6" x14ac:dyDescent="0.25">
      <c r="F223" s="5">
        <v>221</v>
      </c>
    </row>
    <row r="224" spans="6:6" x14ac:dyDescent="0.25">
      <c r="F224" s="5">
        <v>222</v>
      </c>
    </row>
    <row r="225" spans="6:6" x14ac:dyDescent="0.25">
      <c r="F225" s="5">
        <v>223</v>
      </c>
    </row>
    <row r="226" spans="6:6" x14ac:dyDescent="0.25">
      <c r="F226" s="5">
        <v>224</v>
      </c>
    </row>
    <row r="227" spans="6:6" x14ac:dyDescent="0.25">
      <c r="F227" s="5">
        <v>225</v>
      </c>
    </row>
    <row r="228" spans="6:6" x14ac:dyDescent="0.25">
      <c r="F228" s="5">
        <v>226</v>
      </c>
    </row>
    <row r="229" spans="6:6" x14ac:dyDescent="0.25">
      <c r="F229" s="5">
        <v>227</v>
      </c>
    </row>
    <row r="230" spans="6:6" x14ac:dyDescent="0.25">
      <c r="F230" s="5">
        <v>228</v>
      </c>
    </row>
    <row r="231" spans="6:6" x14ac:dyDescent="0.25">
      <c r="F231" s="5">
        <v>229</v>
      </c>
    </row>
    <row r="232" spans="6:6" x14ac:dyDescent="0.25">
      <c r="F232" s="5">
        <v>230</v>
      </c>
    </row>
    <row r="233" spans="6:6" x14ac:dyDescent="0.25">
      <c r="F233" s="5">
        <v>231</v>
      </c>
    </row>
    <row r="234" spans="6:6" x14ac:dyDescent="0.25">
      <c r="F234" s="5">
        <v>232</v>
      </c>
    </row>
    <row r="235" spans="6:6" x14ac:dyDescent="0.25">
      <c r="F235" s="5">
        <v>233</v>
      </c>
    </row>
    <row r="236" spans="6:6" x14ac:dyDescent="0.25">
      <c r="F236" s="5">
        <v>234</v>
      </c>
    </row>
    <row r="237" spans="6:6" x14ac:dyDescent="0.25">
      <c r="F237" s="5">
        <v>235</v>
      </c>
    </row>
    <row r="238" spans="6:6" x14ac:dyDescent="0.25">
      <c r="F238" s="5">
        <v>236</v>
      </c>
    </row>
    <row r="239" spans="6:6" x14ac:dyDescent="0.25">
      <c r="F239" s="5">
        <v>237</v>
      </c>
    </row>
    <row r="240" spans="6:6" x14ac:dyDescent="0.25">
      <c r="F240" s="5">
        <v>238</v>
      </c>
    </row>
    <row r="241" spans="6:6" x14ac:dyDescent="0.25">
      <c r="F241" s="5">
        <v>239</v>
      </c>
    </row>
    <row r="242" spans="6:6" x14ac:dyDescent="0.25">
      <c r="F242" s="5">
        <v>240</v>
      </c>
    </row>
    <row r="243" spans="6:6" x14ac:dyDescent="0.25">
      <c r="F243" s="5">
        <v>241</v>
      </c>
    </row>
    <row r="244" spans="6:6" x14ac:dyDescent="0.25">
      <c r="F244" s="5">
        <v>242</v>
      </c>
    </row>
    <row r="245" spans="6:6" x14ac:dyDescent="0.25">
      <c r="F245" s="5">
        <v>243</v>
      </c>
    </row>
    <row r="246" spans="6:6" x14ac:dyDescent="0.25">
      <c r="F246" s="5">
        <v>244</v>
      </c>
    </row>
    <row r="247" spans="6:6" x14ac:dyDescent="0.25">
      <c r="F247" s="5">
        <v>245</v>
      </c>
    </row>
    <row r="248" spans="6:6" x14ac:dyDescent="0.25">
      <c r="F248" s="5">
        <v>246</v>
      </c>
    </row>
    <row r="249" spans="6:6" x14ac:dyDescent="0.25">
      <c r="F249" s="5">
        <v>247</v>
      </c>
    </row>
    <row r="250" spans="6:6" x14ac:dyDescent="0.25">
      <c r="F250" s="5">
        <v>248</v>
      </c>
    </row>
    <row r="251" spans="6:6" x14ac:dyDescent="0.25">
      <c r="F251" s="5">
        <v>249</v>
      </c>
    </row>
    <row r="252" spans="6:6" x14ac:dyDescent="0.25">
      <c r="F252" s="5">
        <v>250</v>
      </c>
    </row>
    <row r="253" spans="6:6" x14ac:dyDescent="0.25">
      <c r="F253" s="5">
        <v>251</v>
      </c>
    </row>
    <row r="254" spans="6:6" x14ac:dyDescent="0.25">
      <c r="F254" s="5">
        <v>252</v>
      </c>
    </row>
    <row r="255" spans="6:6" x14ac:dyDescent="0.25">
      <c r="F255" s="5">
        <v>253</v>
      </c>
    </row>
    <row r="256" spans="6:6" x14ac:dyDescent="0.25">
      <c r="F256" s="5">
        <v>254</v>
      </c>
    </row>
    <row r="257" spans="6:6" x14ac:dyDescent="0.25">
      <c r="F257" s="5">
        <v>255</v>
      </c>
    </row>
    <row r="258" spans="6:6" x14ac:dyDescent="0.25">
      <c r="F258" s="5">
        <v>256</v>
      </c>
    </row>
    <row r="259" spans="6:6" x14ac:dyDescent="0.25">
      <c r="F259" s="5">
        <v>257</v>
      </c>
    </row>
    <row r="260" spans="6:6" x14ac:dyDescent="0.25">
      <c r="F260" s="5">
        <v>258</v>
      </c>
    </row>
    <row r="261" spans="6:6" x14ac:dyDescent="0.25">
      <c r="F261" s="5">
        <v>259</v>
      </c>
    </row>
    <row r="262" spans="6:6" x14ac:dyDescent="0.25">
      <c r="F262" s="5">
        <v>260</v>
      </c>
    </row>
    <row r="263" spans="6:6" x14ac:dyDescent="0.25">
      <c r="F263" s="5">
        <v>261</v>
      </c>
    </row>
    <row r="264" spans="6:6" x14ac:dyDescent="0.25">
      <c r="F264" s="5">
        <v>262</v>
      </c>
    </row>
    <row r="265" spans="6:6" x14ac:dyDescent="0.25">
      <c r="F265" s="5">
        <v>263</v>
      </c>
    </row>
    <row r="266" spans="6:6" x14ac:dyDescent="0.25">
      <c r="F266" s="5">
        <v>264</v>
      </c>
    </row>
    <row r="267" spans="6:6" x14ac:dyDescent="0.25">
      <c r="F267" s="5">
        <v>265</v>
      </c>
    </row>
    <row r="268" spans="6:6" x14ac:dyDescent="0.25">
      <c r="F268" s="5">
        <v>266</v>
      </c>
    </row>
    <row r="269" spans="6:6" x14ac:dyDescent="0.25">
      <c r="F269" s="5">
        <v>267</v>
      </c>
    </row>
    <row r="270" spans="6:6" x14ac:dyDescent="0.25">
      <c r="F270" s="5">
        <v>268</v>
      </c>
    </row>
    <row r="271" spans="6:6" x14ac:dyDescent="0.25">
      <c r="F271" s="5">
        <v>269</v>
      </c>
    </row>
    <row r="272" spans="6:6" x14ac:dyDescent="0.25">
      <c r="F272" s="5">
        <v>270</v>
      </c>
    </row>
    <row r="273" spans="6:6" x14ac:dyDescent="0.25">
      <c r="F273" s="5">
        <v>271</v>
      </c>
    </row>
    <row r="274" spans="6:6" x14ac:dyDescent="0.25">
      <c r="F274" s="5">
        <v>272</v>
      </c>
    </row>
    <row r="275" spans="6:6" x14ac:dyDescent="0.25">
      <c r="F275" s="5">
        <v>273</v>
      </c>
    </row>
    <row r="276" spans="6:6" x14ac:dyDescent="0.25">
      <c r="F276" s="5">
        <v>274</v>
      </c>
    </row>
    <row r="277" spans="6:6" x14ac:dyDescent="0.25">
      <c r="F277" s="5">
        <v>275</v>
      </c>
    </row>
    <row r="278" spans="6:6" x14ac:dyDescent="0.25">
      <c r="F278" s="5">
        <v>276</v>
      </c>
    </row>
    <row r="279" spans="6:6" x14ac:dyDescent="0.25">
      <c r="F279" s="5">
        <v>277</v>
      </c>
    </row>
    <row r="280" spans="6:6" x14ac:dyDescent="0.25">
      <c r="F280" s="5">
        <v>278</v>
      </c>
    </row>
    <row r="281" spans="6:6" x14ac:dyDescent="0.25">
      <c r="F281" s="5">
        <v>279</v>
      </c>
    </row>
    <row r="282" spans="6:6" x14ac:dyDescent="0.25">
      <c r="F282" s="5">
        <v>280</v>
      </c>
    </row>
    <row r="283" spans="6:6" x14ac:dyDescent="0.25">
      <c r="F283" s="5">
        <v>281</v>
      </c>
    </row>
    <row r="284" spans="6:6" x14ac:dyDescent="0.25">
      <c r="F284" s="5">
        <v>282</v>
      </c>
    </row>
    <row r="285" spans="6:6" x14ac:dyDescent="0.25">
      <c r="F285" s="5">
        <v>283</v>
      </c>
    </row>
    <row r="286" spans="6:6" x14ac:dyDescent="0.25">
      <c r="F286" s="5">
        <v>284</v>
      </c>
    </row>
    <row r="287" spans="6:6" x14ac:dyDescent="0.25">
      <c r="F287" s="5">
        <v>285</v>
      </c>
    </row>
    <row r="288" spans="6:6" x14ac:dyDescent="0.25">
      <c r="F288" s="5">
        <v>286</v>
      </c>
    </row>
    <row r="289" spans="6:6" x14ac:dyDescent="0.25">
      <c r="F289" s="5">
        <v>287</v>
      </c>
    </row>
    <row r="290" spans="6:6" x14ac:dyDescent="0.25">
      <c r="F290" s="5">
        <v>288</v>
      </c>
    </row>
    <row r="291" spans="6:6" x14ac:dyDescent="0.25">
      <c r="F291" s="5">
        <v>289</v>
      </c>
    </row>
    <row r="292" spans="6:6" x14ac:dyDescent="0.25">
      <c r="F292" s="5">
        <v>290</v>
      </c>
    </row>
    <row r="293" spans="6:6" x14ac:dyDescent="0.25">
      <c r="F293" s="5">
        <v>291</v>
      </c>
    </row>
    <row r="294" spans="6:6" x14ac:dyDescent="0.25">
      <c r="F294" s="5">
        <v>292</v>
      </c>
    </row>
    <row r="295" spans="6:6" x14ac:dyDescent="0.25">
      <c r="F295" s="5">
        <v>293</v>
      </c>
    </row>
    <row r="296" spans="6:6" x14ac:dyDescent="0.25">
      <c r="F296" s="5">
        <v>294</v>
      </c>
    </row>
    <row r="297" spans="6:6" x14ac:dyDescent="0.25">
      <c r="F297" s="5">
        <v>295</v>
      </c>
    </row>
    <row r="298" spans="6:6" x14ac:dyDescent="0.25">
      <c r="F298" s="5">
        <v>296</v>
      </c>
    </row>
    <row r="299" spans="6:6" x14ac:dyDescent="0.25">
      <c r="F299" s="5">
        <v>297</v>
      </c>
    </row>
    <row r="300" spans="6:6" x14ac:dyDescent="0.25">
      <c r="F300" s="5">
        <v>298</v>
      </c>
    </row>
    <row r="301" spans="6:6" x14ac:dyDescent="0.25">
      <c r="F301" s="5">
        <v>299</v>
      </c>
    </row>
    <row r="302" spans="6:6" x14ac:dyDescent="0.25">
      <c r="F302" s="5">
        <v>300</v>
      </c>
    </row>
    <row r="303" spans="6:6" x14ac:dyDescent="0.25">
      <c r="F303" s="5">
        <v>301</v>
      </c>
    </row>
    <row r="304" spans="6:6" x14ac:dyDescent="0.25">
      <c r="F304" s="5">
        <v>302</v>
      </c>
    </row>
    <row r="305" spans="6:6" x14ac:dyDescent="0.25">
      <c r="F305" s="5">
        <v>303</v>
      </c>
    </row>
    <row r="306" spans="6:6" x14ac:dyDescent="0.25">
      <c r="F306" s="5">
        <v>304</v>
      </c>
    </row>
    <row r="307" spans="6:6" x14ac:dyDescent="0.25">
      <c r="F307" s="5">
        <v>305</v>
      </c>
    </row>
    <row r="308" spans="6:6" x14ac:dyDescent="0.25">
      <c r="F308" s="5">
        <v>306</v>
      </c>
    </row>
    <row r="309" spans="6:6" x14ac:dyDescent="0.25">
      <c r="F309" s="5">
        <v>307</v>
      </c>
    </row>
    <row r="310" spans="6:6" x14ac:dyDescent="0.25">
      <c r="F310" s="5">
        <v>308</v>
      </c>
    </row>
    <row r="311" spans="6:6" x14ac:dyDescent="0.25">
      <c r="F311" s="5">
        <v>309</v>
      </c>
    </row>
    <row r="312" spans="6:6" x14ac:dyDescent="0.25">
      <c r="F312" s="5">
        <v>310</v>
      </c>
    </row>
    <row r="313" spans="6:6" x14ac:dyDescent="0.25">
      <c r="F313" s="5">
        <v>311</v>
      </c>
    </row>
    <row r="314" spans="6:6" x14ac:dyDescent="0.25">
      <c r="F314" s="5">
        <v>312</v>
      </c>
    </row>
    <row r="315" spans="6:6" x14ac:dyDescent="0.25">
      <c r="F315" s="5">
        <v>313</v>
      </c>
    </row>
    <row r="316" spans="6:6" x14ac:dyDescent="0.25">
      <c r="F316" s="5">
        <v>314</v>
      </c>
    </row>
    <row r="317" spans="6:6" x14ac:dyDescent="0.25">
      <c r="F317" s="5">
        <v>315</v>
      </c>
    </row>
    <row r="318" spans="6:6" x14ac:dyDescent="0.25">
      <c r="F318" s="5">
        <v>316</v>
      </c>
    </row>
    <row r="319" spans="6:6" x14ac:dyDescent="0.25">
      <c r="F319" s="5">
        <v>317</v>
      </c>
    </row>
    <row r="320" spans="6:6" x14ac:dyDescent="0.25">
      <c r="F320" s="5">
        <v>318</v>
      </c>
    </row>
    <row r="321" spans="6:6" x14ac:dyDescent="0.25">
      <c r="F321" s="5">
        <v>319</v>
      </c>
    </row>
    <row r="322" spans="6:6" x14ac:dyDescent="0.25">
      <c r="F322" s="5">
        <v>320</v>
      </c>
    </row>
    <row r="323" spans="6:6" x14ac:dyDescent="0.25">
      <c r="F323" s="5">
        <v>321</v>
      </c>
    </row>
    <row r="324" spans="6:6" x14ac:dyDescent="0.25">
      <c r="F324" s="5">
        <v>322</v>
      </c>
    </row>
    <row r="325" spans="6:6" x14ac:dyDescent="0.25">
      <c r="F325" s="5">
        <v>323</v>
      </c>
    </row>
    <row r="326" spans="6:6" x14ac:dyDescent="0.25">
      <c r="F326" s="5">
        <v>324</v>
      </c>
    </row>
    <row r="327" spans="6:6" x14ac:dyDescent="0.25">
      <c r="F327" s="5">
        <v>325</v>
      </c>
    </row>
    <row r="328" spans="6:6" x14ac:dyDescent="0.25">
      <c r="F328" s="5">
        <v>326</v>
      </c>
    </row>
    <row r="329" spans="6:6" x14ac:dyDescent="0.25">
      <c r="F329" s="5">
        <v>327</v>
      </c>
    </row>
    <row r="330" spans="6:6" x14ac:dyDescent="0.25">
      <c r="F330" s="5">
        <v>328</v>
      </c>
    </row>
    <row r="331" spans="6:6" x14ac:dyDescent="0.25">
      <c r="F331" s="5">
        <v>329</v>
      </c>
    </row>
    <row r="332" spans="6:6" x14ac:dyDescent="0.25">
      <c r="F332" s="5">
        <v>330</v>
      </c>
    </row>
    <row r="333" spans="6:6" x14ac:dyDescent="0.25">
      <c r="F333" s="5">
        <v>331</v>
      </c>
    </row>
    <row r="334" spans="6:6" x14ac:dyDescent="0.25">
      <c r="F334" s="5">
        <v>332</v>
      </c>
    </row>
    <row r="335" spans="6:6" x14ac:dyDescent="0.25">
      <c r="F335" s="5">
        <v>333</v>
      </c>
    </row>
    <row r="336" spans="6:6" x14ac:dyDescent="0.25">
      <c r="F336" s="5">
        <v>334</v>
      </c>
    </row>
    <row r="337" spans="6:6" x14ac:dyDescent="0.25">
      <c r="F337" s="5">
        <v>335</v>
      </c>
    </row>
    <row r="338" spans="6:6" x14ac:dyDescent="0.25">
      <c r="F338" s="5">
        <v>336</v>
      </c>
    </row>
    <row r="339" spans="6:6" x14ac:dyDescent="0.25">
      <c r="F339" s="5">
        <v>337</v>
      </c>
    </row>
    <row r="340" spans="6:6" x14ac:dyDescent="0.25">
      <c r="F340" s="5">
        <v>338</v>
      </c>
    </row>
    <row r="341" spans="6:6" x14ac:dyDescent="0.25">
      <c r="F341" s="5">
        <v>339</v>
      </c>
    </row>
    <row r="342" spans="6:6" x14ac:dyDescent="0.25">
      <c r="F342" s="5">
        <v>340</v>
      </c>
    </row>
    <row r="343" spans="6:6" x14ac:dyDescent="0.25">
      <c r="F343" s="5">
        <v>341</v>
      </c>
    </row>
    <row r="344" spans="6:6" x14ac:dyDescent="0.25">
      <c r="F344" s="5">
        <v>342</v>
      </c>
    </row>
    <row r="345" spans="6:6" x14ac:dyDescent="0.25">
      <c r="F345" s="5">
        <v>343</v>
      </c>
    </row>
    <row r="346" spans="6:6" x14ac:dyDescent="0.25">
      <c r="F346" s="5">
        <v>344</v>
      </c>
    </row>
    <row r="347" spans="6:6" x14ac:dyDescent="0.25">
      <c r="F347" s="5">
        <v>345</v>
      </c>
    </row>
    <row r="348" spans="6:6" x14ac:dyDescent="0.25">
      <c r="F348" s="5">
        <v>346</v>
      </c>
    </row>
    <row r="349" spans="6:6" x14ac:dyDescent="0.25">
      <c r="F349" s="5">
        <v>347</v>
      </c>
    </row>
    <row r="350" spans="6:6" x14ac:dyDescent="0.25">
      <c r="F350" s="5">
        <v>348</v>
      </c>
    </row>
    <row r="351" spans="6:6" x14ac:dyDescent="0.25">
      <c r="F351" s="5">
        <v>349</v>
      </c>
    </row>
    <row r="352" spans="6:6" x14ac:dyDescent="0.25">
      <c r="F352" s="5">
        <v>350</v>
      </c>
    </row>
    <row r="353" spans="6:6" x14ac:dyDescent="0.25">
      <c r="F353" s="5">
        <v>351</v>
      </c>
    </row>
    <row r="354" spans="6:6" x14ac:dyDescent="0.25">
      <c r="F354" s="5">
        <v>352</v>
      </c>
    </row>
    <row r="355" spans="6:6" x14ac:dyDescent="0.25">
      <c r="F355" s="5">
        <v>353</v>
      </c>
    </row>
    <row r="356" spans="6:6" x14ac:dyDescent="0.25">
      <c r="F356" s="5">
        <v>354</v>
      </c>
    </row>
    <row r="357" spans="6:6" x14ac:dyDescent="0.25">
      <c r="F357" s="5">
        <v>355</v>
      </c>
    </row>
    <row r="358" spans="6:6" x14ac:dyDescent="0.25">
      <c r="F358" s="5">
        <v>356</v>
      </c>
    </row>
    <row r="359" spans="6:6" x14ac:dyDescent="0.25">
      <c r="F359" s="5">
        <v>357</v>
      </c>
    </row>
    <row r="360" spans="6:6" x14ac:dyDescent="0.25">
      <c r="F360" s="5">
        <v>358</v>
      </c>
    </row>
    <row r="361" spans="6:6" x14ac:dyDescent="0.25">
      <c r="F361" s="5">
        <v>359</v>
      </c>
    </row>
    <row r="362" spans="6:6" x14ac:dyDescent="0.25">
      <c r="F362" s="5">
        <v>360</v>
      </c>
    </row>
    <row r="363" spans="6:6" x14ac:dyDescent="0.25">
      <c r="F363" s="5">
        <v>361</v>
      </c>
    </row>
    <row r="364" spans="6:6" x14ac:dyDescent="0.25">
      <c r="F364" s="5">
        <v>362</v>
      </c>
    </row>
    <row r="365" spans="6:6" x14ac:dyDescent="0.25">
      <c r="F365" s="5">
        <v>363</v>
      </c>
    </row>
    <row r="366" spans="6:6" x14ac:dyDescent="0.25">
      <c r="F366" s="5">
        <v>364</v>
      </c>
    </row>
    <row r="367" spans="6:6" x14ac:dyDescent="0.25">
      <c r="F367" s="5">
        <v>365</v>
      </c>
    </row>
    <row r="368" spans="6:6" x14ac:dyDescent="0.25">
      <c r="F368" s="5">
        <v>366</v>
      </c>
    </row>
    <row r="369" spans="6:6" x14ac:dyDescent="0.25">
      <c r="F369" s="5">
        <v>367</v>
      </c>
    </row>
    <row r="370" spans="6:6" x14ac:dyDescent="0.25">
      <c r="F370" s="5">
        <v>368</v>
      </c>
    </row>
    <row r="371" spans="6:6" x14ac:dyDescent="0.25">
      <c r="F371" s="5">
        <v>369</v>
      </c>
    </row>
    <row r="372" spans="6:6" x14ac:dyDescent="0.25">
      <c r="F372" s="5">
        <v>370</v>
      </c>
    </row>
    <row r="373" spans="6:6" x14ac:dyDescent="0.25">
      <c r="F373" s="5">
        <v>371</v>
      </c>
    </row>
    <row r="374" spans="6:6" x14ac:dyDescent="0.25">
      <c r="F374" s="5">
        <v>372</v>
      </c>
    </row>
    <row r="375" spans="6:6" x14ac:dyDescent="0.25">
      <c r="F375" s="5">
        <v>373</v>
      </c>
    </row>
    <row r="376" spans="6:6" x14ac:dyDescent="0.25">
      <c r="F376" s="5">
        <v>374</v>
      </c>
    </row>
    <row r="377" spans="6:6" x14ac:dyDescent="0.25">
      <c r="F377" s="5">
        <v>375</v>
      </c>
    </row>
    <row r="378" spans="6:6" x14ac:dyDescent="0.25">
      <c r="F378" s="5">
        <v>376</v>
      </c>
    </row>
    <row r="379" spans="6:6" x14ac:dyDescent="0.25">
      <c r="F379" s="5">
        <v>377</v>
      </c>
    </row>
    <row r="380" spans="6:6" x14ac:dyDescent="0.25">
      <c r="F380" s="5">
        <v>378</v>
      </c>
    </row>
    <row r="381" spans="6:6" x14ac:dyDescent="0.25">
      <c r="F381" s="5">
        <v>379</v>
      </c>
    </row>
    <row r="382" spans="6:6" x14ac:dyDescent="0.25">
      <c r="F382" s="5">
        <v>380</v>
      </c>
    </row>
    <row r="383" spans="6:6" x14ac:dyDescent="0.25">
      <c r="F383" s="5">
        <v>381</v>
      </c>
    </row>
    <row r="384" spans="6:6" x14ac:dyDescent="0.25">
      <c r="F384" s="5">
        <v>382</v>
      </c>
    </row>
    <row r="385" spans="6:6" x14ac:dyDescent="0.25">
      <c r="F385" s="5">
        <v>383</v>
      </c>
    </row>
    <row r="386" spans="6:6" x14ac:dyDescent="0.25">
      <c r="F386" s="5">
        <v>384</v>
      </c>
    </row>
    <row r="387" spans="6:6" x14ac:dyDescent="0.25">
      <c r="F387" s="5">
        <v>385</v>
      </c>
    </row>
    <row r="388" spans="6:6" x14ac:dyDescent="0.25">
      <c r="F388" s="5">
        <v>386</v>
      </c>
    </row>
    <row r="389" spans="6:6" x14ac:dyDescent="0.25">
      <c r="F389" s="5">
        <v>387</v>
      </c>
    </row>
    <row r="390" spans="6:6" x14ac:dyDescent="0.25">
      <c r="F390" s="5">
        <v>388</v>
      </c>
    </row>
    <row r="391" spans="6:6" x14ac:dyDescent="0.25">
      <c r="F391" s="5">
        <v>389</v>
      </c>
    </row>
    <row r="392" spans="6:6" x14ac:dyDescent="0.25">
      <c r="F392" s="5">
        <v>390</v>
      </c>
    </row>
    <row r="393" spans="6:6" x14ac:dyDescent="0.25">
      <c r="F393" s="5">
        <v>391</v>
      </c>
    </row>
    <row r="394" spans="6:6" x14ac:dyDescent="0.25">
      <c r="F394" s="5">
        <v>392</v>
      </c>
    </row>
    <row r="395" spans="6:6" x14ac:dyDescent="0.25">
      <c r="F395" s="5">
        <v>393</v>
      </c>
    </row>
    <row r="396" spans="6:6" x14ac:dyDescent="0.25">
      <c r="F396" s="5">
        <v>394</v>
      </c>
    </row>
    <row r="397" spans="6:6" x14ac:dyDescent="0.25">
      <c r="F397" s="5">
        <v>395</v>
      </c>
    </row>
    <row r="398" spans="6:6" x14ac:dyDescent="0.25">
      <c r="F398" s="5">
        <v>396</v>
      </c>
    </row>
    <row r="399" spans="6:6" x14ac:dyDescent="0.25">
      <c r="F399" s="5">
        <v>397</v>
      </c>
    </row>
    <row r="400" spans="6:6" x14ac:dyDescent="0.25">
      <c r="F400" s="5">
        <v>398</v>
      </c>
    </row>
    <row r="401" spans="6:6" x14ac:dyDescent="0.25">
      <c r="F401" s="5">
        <v>399</v>
      </c>
    </row>
    <row r="402" spans="6:6" x14ac:dyDescent="0.25">
      <c r="F402" s="5">
        <v>400</v>
      </c>
    </row>
    <row r="403" spans="6:6" x14ac:dyDescent="0.25">
      <c r="F403" s="5">
        <v>401</v>
      </c>
    </row>
    <row r="404" spans="6:6" x14ac:dyDescent="0.25">
      <c r="F404" s="5">
        <v>402</v>
      </c>
    </row>
    <row r="405" spans="6:6" x14ac:dyDescent="0.25">
      <c r="F405" s="5">
        <v>403</v>
      </c>
    </row>
    <row r="406" spans="6:6" x14ac:dyDescent="0.25">
      <c r="F406" s="5">
        <v>404</v>
      </c>
    </row>
    <row r="407" spans="6:6" x14ac:dyDescent="0.25">
      <c r="F407" s="5">
        <v>405</v>
      </c>
    </row>
    <row r="408" spans="6:6" x14ac:dyDescent="0.25">
      <c r="F408" s="5">
        <v>406</v>
      </c>
    </row>
    <row r="409" spans="6:6" x14ac:dyDescent="0.25">
      <c r="F409" s="5">
        <v>407</v>
      </c>
    </row>
    <row r="410" spans="6:6" x14ac:dyDescent="0.25">
      <c r="F410" s="5">
        <v>408</v>
      </c>
    </row>
    <row r="411" spans="6:6" x14ac:dyDescent="0.25">
      <c r="F411" s="5">
        <v>409</v>
      </c>
    </row>
    <row r="412" spans="6:6" x14ac:dyDescent="0.25">
      <c r="F412" s="5">
        <v>410</v>
      </c>
    </row>
    <row r="413" spans="6:6" x14ac:dyDescent="0.25">
      <c r="F413" s="5">
        <v>411</v>
      </c>
    </row>
    <row r="414" spans="6:6" x14ac:dyDescent="0.25">
      <c r="F414" s="5">
        <v>412</v>
      </c>
    </row>
    <row r="415" spans="6:6" x14ac:dyDescent="0.25">
      <c r="F415" s="5">
        <v>413</v>
      </c>
    </row>
    <row r="416" spans="6:6" x14ac:dyDescent="0.25">
      <c r="F416" s="5">
        <v>414</v>
      </c>
    </row>
    <row r="417" spans="6:6" x14ac:dyDescent="0.25">
      <c r="F417" s="5">
        <v>415</v>
      </c>
    </row>
    <row r="418" spans="6:6" x14ac:dyDescent="0.25">
      <c r="F418" s="5">
        <v>416</v>
      </c>
    </row>
    <row r="419" spans="6:6" x14ac:dyDescent="0.25">
      <c r="F419" s="5">
        <v>417</v>
      </c>
    </row>
    <row r="420" spans="6:6" x14ac:dyDescent="0.25">
      <c r="F420" s="5">
        <v>418</v>
      </c>
    </row>
    <row r="421" spans="6:6" x14ac:dyDescent="0.25">
      <c r="F421" s="5">
        <v>419</v>
      </c>
    </row>
    <row r="422" spans="6:6" x14ac:dyDescent="0.25">
      <c r="F422" s="5">
        <v>420</v>
      </c>
    </row>
    <row r="423" spans="6:6" x14ac:dyDescent="0.25">
      <c r="F423" s="5">
        <v>421</v>
      </c>
    </row>
    <row r="424" spans="6:6" x14ac:dyDescent="0.25">
      <c r="F424" s="5">
        <v>422</v>
      </c>
    </row>
    <row r="425" spans="6:6" x14ac:dyDescent="0.25">
      <c r="F425" s="5">
        <v>423</v>
      </c>
    </row>
    <row r="426" spans="6:6" x14ac:dyDescent="0.25">
      <c r="F426" s="5">
        <v>424</v>
      </c>
    </row>
    <row r="427" spans="6:6" x14ac:dyDescent="0.25">
      <c r="F427" s="5">
        <v>425</v>
      </c>
    </row>
    <row r="428" spans="6:6" x14ac:dyDescent="0.25">
      <c r="F428" s="5">
        <v>426</v>
      </c>
    </row>
    <row r="429" spans="6:6" x14ac:dyDescent="0.25">
      <c r="F429" s="5">
        <v>427</v>
      </c>
    </row>
    <row r="430" spans="6:6" x14ac:dyDescent="0.25">
      <c r="F430" s="5">
        <v>428</v>
      </c>
    </row>
    <row r="431" spans="6:6" x14ac:dyDescent="0.25">
      <c r="F431" s="5">
        <v>429</v>
      </c>
    </row>
    <row r="432" spans="6:6" x14ac:dyDescent="0.25">
      <c r="F432" s="5">
        <v>430</v>
      </c>
    </row>
    <row r="433" spans="6:6" x14ac:dyDescent="0.25">
      <c r="F433" s="5">
        <v>431</v>
      </c>
    </row>
    <row r="434" spans="6:6" x14ac:dyDescent="0.25">
      <c r="F434" s="5">
        <v>432</v>
      </c>
    </row>
    <row r="435" spans="6:6" x14ac:dyDescent="0.25">
      <c r="F435" s="5">
        <v>433</v>
      </c>
    </row>
    <row r="436" spans="6:6" x14ac:dyDescent="0.25">
      <c r="F436" s="5">
        <v>434</v>
      </c>
    </row>
    <row r="437" spans="6:6" x14ac:dyDescent="0.25">
      <c r="F437" s="5">
        <v>435</v>
      </c>
    </row>
    <row r="438" spans="6:6" x14ac:dyDescent="0.25">
      <c r="F438" s="5">
        <v>436</v>
      </c>
    </row>
    <row r="439" spans="6:6" x14ac:dyDescent="0.25">
      <c r="F439" s="5">
        <v>437</v>
      </c>
    </row>
    <row r="440" spans="6:6" x14ac:dyDescent="0.25">
      <c r="F440" s="5">
        <v>438</v>
      </c>
    </row>
    <row r="441" spans="6:6" x14ac:dyDescent="0.25">
      <c r="F441" s="5">
        <v>439</v>
      </c>
    </row>
    <row r="442" spans="6:6" x14ac:dyDescent="0.25">
      <c r="F442" s="5">
        <v>440</v>
      </c>
    </row>
    <row r="443" spans="6:6" x14ac:dyDescent="0.25">
      <c r="F443" s="5">
        <v>441</v>
      </c>
    </row>
    <row r="444" spans="6:6" x14ac:dyDescent="0.25">
      <c r="F444" s="5">
        <v>442</v>
      </c>
    </row>
    <row r="445" spans="6:6" x14ac:dyDescent="0.25">
      <c r="F445" s="5">
        <v>443</v>
      </c>
    </row>
    <row r="446" spans="6:6" x14ac:dyDescent="0.25">
      <c r="F446" s="5">
        <v>444</v>
      </c>
    </row>
    <row r="447" spans="6:6" x14ac:dyDescent="0.25">
      <c r="F447" s="5">
        <v>445</v>
      </c>
    </row>
    <row r="448" spans="6:6" x14ac:dyDescent="0.25">
      <c r="F448" s="5">
        <v>446</v>
      </c>
    </row>
    <row r="449" spans="6:6" x14ac:dyDescent="0.25">
      <c r="F449" s="5">
        <v>447</v>
      </c>
    </row>
    <row r="450" spans="6:6" x14ac:dyDescent="0.25">
      <c r="F450" s="5">
        <v>448</v>
      </c>
    </row>
    <row r="451" spans="6:6" x14ac:dyDescent="0.25">
      <c r="F451" s="5">
        <v>449</v>
      </c>
    </row>
    <row r="452" spans="6:6" x14ac:dyDescent="0.25">
      <c r="F452" s="5">
        <v>450</v>
      </c>
    </row>
    <row r="453" spans="6:6" x14ac:dyDescent="0.25">
      <c r="F453" s="5">
        <v>451</v>
      </c>
    </row>
    <row r="454" spans="6:6" x14ac:dyDescent="0.25">
      <c r="F454" s="5">
        <v>452</v>
      </c>
    </row>
    <row r="455" spans="6:6" x14ac:dyDescent="0.25">
      <c r="F455" s="5">
        <v>453</v>
      </c>
    </row>
    <row r="456" spans="6:6" x14ac:dyDescent="0.25">
      <c r="F456" s="5">
        <v>454</v>
      </c>
    </row>
    <row r="457" spans="6:6" x14ac:dyDescent="0.25">
      <c r="F457" s="5">
        <v>455</v>
      </c>
    </row>
    <row r="458" spans="6:6" x14ac:dyDescent="0.25">
      <c r="F458" s="5">
        <v>456</v>
      </c>
    </row>
    <row r="459" spans="6:6" x14ac:dyDescent="0.25">
      <c r="F459" s="5">
        <v>457</v>
      </c>
    </row>
    <row r="460" spans="6:6" x14ac:dyDescent="0.25">
      <c r="F460" s="5">
        <v>458</v>
      </c>
    </row>
    <row r="461" spans="6:6" x14ac:dyDescent="0.25">
      <c r="F461" s="5">
        <v>459</v>
      </c>
    </row>
    <row r="462" spans="6:6" x14ac:dyDescent="0.25">
      <c r="F462" s="5">
        <v>460</v>
      </c>
    </row>
    <row r="463" spans="6:6" x14ac:dyDescent="0.25">
      <c r="F463" s="5">
        <v>461</v>
      </c>
    </row>
    <row r="464" spans="6:6" x14ac:dyDescent="0.25">
      <c r="F464" s="5">
        <v>462</v>
      </c>
    </row>
    <row r="465" spans="6:6" x14ac:dyDescent="0.25">
      <c r="F465" s="5">
        <v>463</v>
      </c>
    </row>
    <row r="466" spans="6:6" x14ac:dyDescent="0.25">
      <c r="F466" s="5">
        <v>464</v>
      </c>
    </row>
    <row r="467" spans="6:6" x14ac:dyDescent="0.25">
      <c r="F467" s="5">
        <v>465</v>
      </c>
    </row>
    <row r="468" spans="6:6" x14ac:dyDescent="0.25">
      <c r="F468" s="5">
        <v>466</v>
      </c>
    </row>
    <row r="469" spans="6:6" x14ac:dyDescent="0.25">
      <c r="F469" s="5">
        <v>467</v>
      </c>
    </row>
    <row r="470" spans="6:6" x14ac:dyDescent="0.25">
      <c r="F470" s="5">
        <v>468</v>
      </c>
    </row>
    <row r="471" spans="6:6" x14ac:dyDescent="0.25">
      <c r="F471" s="5">
        <v>469</v>
      </c>
    </row>
    <row r="472" spans="6:6" x14ac:dyDescent="0.25">
      <c r="F472" s="5">
        <v>470</v>
      </c>
    </row>
    <row r="473" spans="6:6" x14ac:dyDescent="0.25">
      <c r="F473" s="5">
        <v>471</v>
      </c>
    </row>
    <row r="474" spans="6:6" x14ac:dyDescent="0.25">
      <c r="F474" s="5">
        <v>472</v>
      </c>
    </row>
    <row r="475" spans="6:6" x14ac:dyDescent="0.25">
      <c r="F475" s="5">
        <v>473</v>
      </c>
    </row>
    <row r="476" spans="6:6" x14ac:dyDescent="0.25">
      <c r="F476" s="5">
        <v>474</v>
      </c>
    </row>
    <row r="477" spans="6:6" x14ac:dyDescent="0.25">
      <c r="F477" s="5">
        <v>475</v>
      </c>
    </row>
    <row r="478" spans="6:6" x14ac:dyDescent="0.25">
      <c r="F478" s="5">
        <v>476</v>
      </c>
    </row>
    <row r="479" spans="6:6" x14ac:dyDescent="0.25">
      <c r="F479" s="5">
        <v>477</v>
      </c>
    </row>
    <row r="480" spans="6:6" x14ac:dyDescent="0.25">
      <c r="F480" s="5">
        <v>478</v>
      </c>
    </row>
    <row r="481" spans="6:6" x14ac:dyDescent="0.25">
      <c r="F481" s="5">
        <v>479</v>
      </c>
    </row>
    <row r="482" spans="6:6" x14ac:dyDescent="0.25">
      <c r="F482" s="5">
        <v>480</v>
      </c>
    </row>
    <row r="483" spans="6:6" x14ac:dyDescent="0.25">
      <c r="F483" s="5">
        <v>481</v>
      </c>
    </row>
    <row r="484" spans="6:6" x14ac:dyDescent="0.25">
      <c r="F484" s="5">
        <v>482</v>
      </c>
    </row>
    <row r="485" spans="6:6" x14ac:dyDescent="0.25">
      <c r="F485" s="5">
        <v>483</v>
      </c>
    </row>
    <row r="486" spans="6:6" x14ac:dyDescent="0.25">
      <c r="F486" s="5">
        <v>484</v>
      </c>
    </row>
    <row r="487" spans="6:6" x14ac:dyDescent="0.25">
      <c r="F487" s="5">
        <v>485</v>
      </c>
    </row>
    <row r="488" spans="6:6" x14ac:dyDescent="0.25">
      <c r="F488" s="5">
        <v>486</v>
      </c>
    </row>
    <row r="489" spans="6:6" x14ac:dyDescent="0.25">
      <c r="F489" s="5">
        <v>487</v>
      </c>
    </row>
    <row r="490" spans="6:6" x14ac:dyDescent="0.25">
      <c r="F490" s="5">
        <v>488</v>
      </c>
    </row>
    <row r="491" spans="6:6" x14ac:dyDescent="0.25">
      <c r="F491" s="5">
        <v>489</v>
      </c>
    </row>
    <row r="492" spans="6:6" x14ac:dyDescent="0.25">
      <c r="F492" s="5">
        <v>490</v>
      </c>
    </row>
    <row r="493" spans="6:6" x14ac:dyDescent="0.25">
      <c r="F493" s="5">
        <v>491</v>
      </c>
    </row>
    <row r="494" spans="6:6" x14ac:dyDescent="0.25">
      <c r="F494" s="5">
        <v>492</v>
      </c>
    </row>
    <row r="495" spans="6:6" x14ac:dyDescent="0.25">
      <c r="F495" s="5">
        <v>493</v>
      </c>
    </row>
    <row r="496" spans="6:6" x14ac:dyDescent="0.25">
      <c r="F496" s="5">
        <v>494</v>
      </c>
    </row>
    <row r="497" spans="6:6" x14ac:dyDescent="0.25">
      <c r="F497" s="5">
        <v>495</v>
      </c>
    </row>
    <row r="498" spans="6:6" x14ac:dyDescent="0.25">
      <c r="F498" s="5">
        <v>496</v>
      </c>
    </row>
    <row r="499" spans="6:6" x14ac:dyDescent="0.25">
      <c r="F499" s="5">
        <v>497</v>
      </c>
    </row>
    <row r="500" spans="6:6" x14ac:dyDescent="0.25">
      <c r="F500" s="5">
        <v>498</v>
      </c>
    </row>
    <row r="501" spans="6:6" x14ac:dyDescent="0.25">
      <c r="F501" s="5">
        <v>499</v>
      </c>
    </row>
    <row r="502" spans="6:6" x14ac:dyDescent="0.25">
      <c r="F502" s="5">
        <v>500</v>
      </c>
    </row>
    <row r="503" spans="6:6" x14ac:dyDescent="0.25">
      <c r="F503" s="5">
        <v>501</v>
      </c>
    </row>
    <row r="504" spans="6:6" x14ac:dyDescent="0.25">
      <c r="F504" s="5">
        <v>502</v>
      </c>
    </row>
    <row r="505" spans="6:6" x14ac:dyDescent="0.25">
      <c r="F505" s="5">
        <v>503</v>
      </c>
    </row>
    <row r="506" spans="6:6" x14ac:dyDescent="0.25">
      <c r="F506" s="5">
        <v>504</v>
      </c>
    </row>
    <row r="507" spans="6:6" x14ac:dyDescent="0.25">
      <c r="F507" s="5">
        <v>505</v>
      </c>
    </row>
    <row r="508" spans="6:6" x14ac:dyDescent="0.25">
      <c r="F508" s="5">
        <v>506</v>
      </c>
    </row>
    <row r="509" spans="6:6" x14ac:dyDescent="0.25">
      <c r="F509" s="5">
        <v>507</v>
      </c>
    </row>
    <row r="510" spans="6:6" x14ac:dyDescent="0.25">
      <c r="F510" s="5">
        <v>508</v>
      </c>
    </row>
    <row r="511" spans="6:6" x14ac:dyDescent="0.25">
      <c r="F511" s="5">
        <v>509</v>
      </c>
    </row>
    <row r="512" spans="6:6" x14ac:dyDescent="0.25">
      <c r="F512" s="5">
        <v>510</v>
      </c>
    </row>
    <row r="513" spans="6:6" x14ac:dyDescent="0.25">
      <c r="F513" s="5">
        <v>511</v>
      </c>
    </row>
    <row r="514" spans="6:6" x14ac:dyDescent="0.25">
      <c r="F514" s="5">
        <v>512</v>
      </c>
    </row>
    <row r="515" spans="6:6" x14ac:dyDescent="0.25">
      <c r="F515" s="5">
        <v>513</v>
      </c>
    </row>
    <row r="516" spans="6:6" x14ac:dyDescent="0.25">
      <c r="F516" s="5">
        <v>514</v>
      </c>
    </row>
    <row r="517" spans="6:6" x14ac:dyDescent="0.25">
      <c r="F517" s="5">
        <v>515</v>
      </c>
    </row>
    <row r="518" spans="6:6" x14ac:dyDescent="0.25">
      <c r="F518" s="5">
        <v>516</v>
      </c>
    </row>
    <row r="519" spans="6:6" x14ac:dyDescent="0.25">
      <c r="F519" s="5">
        <v>517</v>
      </c>
    </row>
    <row r="520" spans="6:6" x14ac:dyDescent="0.25">
      <c r="F520" s="5">
        <v>518</v>
      </c>
    </row>
    <row r="521" spans="6:6" x14ac:dyDescent="0.25">
      <c r="F521" s="5">
        <v>519</v>
      </c>
    </row>
    <row r="522" spans="6:6" x14ac:dyDescent="0.25">
      <c r="F522" s="5">
        <v>520</v>
      </c>
    </row>
    <row r="523" spans="6:6" x14ac:dyDescent="0.25">
      <c r="F523" s="5">
        <v>521</v>
      </c>
    </row>
    <row r="524" spans="6:6" x14ac:dyDescent="0.25">
      <c r="F524" s="5">
        <v>522</v>
      </c>
    </row>
    <row r="525" spans="6:6" x14ac:dyDescent="0.25">
      <c r="F525" s="5">
        <v>523</v>
      </c>
    </row>
    <row r="526" spans="6:6" x14ac:dyDescent="0.25">
      <c r="F526" s="5">
        <v>524</v>
      </c>
    </row>
    <row r="527" spans="6:6" x14ac:dyDescent="0.25">
      <c r="F527" s="5">
        <v>525</v>
      </c>
    </row>
    <row r="528" spans="6:6" x14ac:dyDescent="0.25">
      <c r="F528" s="5">
        <v>526</v>
      </c>
    </row>
    <row r="529" spans="6:6" x14ac:dyDescent="0.25">
      <c r="F529" s="5">
        <v>527</v>
      </c>
    </row>
    <row r="530" spans="6:6" x14ac:dyDescent="0.25">
      <c r="F530" s="5">
        <v>528</v>
      </c>
    </row>
    <row r="531" spans="6:6" x14ac:dyDescent="0.25">
      <c r="F531" s="5">
        <v>529</v>
      </c>
    </row>
    <row r="532" spans="6:6" x14ac:dyDescent="0.25">
      <c r="F532" s="5">
        <v>530</v>
      </c>
    </row>
    <row r="533" spans="6:6" x14ac:dyDescent="0.25">
      <c r="F533" s="5">
        <v>531</v>
      </c>
    </row>
    <row r="534" spans="6:6" x14ac:dyDescent="0.25">
      <c r="F534" s="5">
        <v>532</v>
      </c>
    </row>
    <row r="535" spans="6:6" x14ac:dyDescent="0.25">
      <c r="F535" s="5">
        <v>533</v>
      </c>
    </row>
    <row r="536" spans="6:6" x14ac:dyDescent="0.25">
      <c r="F536" s="5">
        <v>534</v>
      </c>
    </row>
    <row r="537" spans="6:6" x14ac:dyDescent="0.25">
      <c r="F537" s="5">
        <v>535</v>
      </c>
    </row>
    <row r="538" spans="6:6" x14ac:dyDescent="0.25">
      <c r="F538" s="5">
        <v>536</v>
      </c>
    </row>
    <row r="539" spans="6:6" x14ac:dyDescent="0.25">
      <c r="F539" s="5">
        <v>537</v>
      </c>
    </row>
    <row r="540" spans="6:6" x14ac:dyDescent="0.25">
      <c r="F540" s="5">
        <v>538</v>
      </c>
    </row>
    <row r="541" spans="6:6" x14ac:dyDescent="0.25">
      <c r="F541" s="5">
        <v>539</v>
      </c>
    </row>
    <row r="542" spans="6:6" x14ac:dyDescent="0.25">
      <c r="F542" s="5">
        <v>540</v>
      </c>
    </row>
    <row r="543" spans="6:6" x14ac:dyDescent="0.25">
      <c r="F543" s="5">
        <v>541</v>
      </c>
    </row>
    <row r="544" spans="6:6" x14ac:dyDescent="0.25">
      <c r="F544" s="5">
        <v>542</v>
      </c>
    </row>
    <row r="545" spans="6:6" x14ac:dyDescent="0.25">
      <c r="F545" s="5">
        <v>543</v>
      </c>
    </row>
    <row r="546" spans="6:6" x14ac:dyDescent="0.25">
      <c r="F546" s="5">
        <v>544</v>
      </c>
    </row>
    <row r="547" spans="6:6" x14ac:dyDescent="0.25">
      <c r="F547" s="5">
        <v>545</v>
      </c>
    </row>
    <row r="548" spans="6:6" x14ac:dyDescent="0.25">
      <c r="F548" s="5">
        <v>546</v>
      </c>
    </row>
    <row r="549" spans="6:6" x14ac:dyDescent="0.25">
      <c r="F549" s="5">
        <v>547</v>
      </c>
    </row>
    <row r="550" spans="6:6" x14ac:dyDescent="0.25">
      <c r="F550" s="5">
        <v>548</v>
      </c>
    </row>
    <row r="551" spans="6:6" x14ac:dyDescent="0.25">
      <c r="F551" s="5">
        <v>549</v>
      </c>
    </row>
    <row r="552" spans="6:6" x14ac:dyDescent="0.25">
      <c r="F552" s="5">
        <v>550</v>
      </c>
    </row>
    <row r="553" spans="6:6" x14ac:dyDescent="0.25">
      <c r="F553" s="5">
        <v>551</v>
      </c>
    </row>
    <row r="554" spans="6:6" x14ac:dyDescent="0.25">
      <c r="F554" s="5">
        <v>552</v>
      </c>
    </row>
    <row r="555" spans="6:6" x14ac:dyDescent="0.25">
      <c r="F555" s="5">
        <v>553</v>
      </c>
    </row>
    <row r="556" spans="6:6" x14ac:dyDescent="0.25">
      <c r="F556" s="5">
        <v>554</v>
      </c>
    </row>
    <row r="557" spans="6:6" x14ac:dyDescent="0.25">
      <c r="F557" s="5">
        <v>555</v>
      </c>
    </row>
    <row r="558" spans="6:6" x14ac:dyDescent="0.25">
      <c r="F558" s="5">
        <v>556</v>
      </c>
    </row>
    <row r="559" spans="6:6" x14ac:dyDescent="0.25">
      <c r="F559" s="5">
        <v>557</v>
      </c>
    </row>
    <row r="560" spans="6:6" x14ac:dyDescent="0.25">
      <c r="F560" s="5">
        <v>558</v>
      </c>
    </row>
    <row r="561" spans="6:6" x14ac:dyDescent="0.25">
      <c r="F561" s="5">
        <v>559</v>
      </c>
    </row>
    <row r="562" spans="6:6" x14ac:dyDescent="0.25">
      <c r="F562" s="5">
        <v>560</v>
      </c>
    </row>
    <row r="563" spans="6:6" x14ac:dyDescent="0.25">
      <c r="F563" s="5">
        <v>561</v>
      </c>
    </row>
    <row r="564" spans="6:6" x14ac:dyDescent="0.25">
      <c r="F564" s="5">
        <v>562</v>
      </c>
    </row>
    <row r="565" spans="6:6" x14ac:dyDescent="0.25">
      <c r="F565" s="5">
        <v>563</v>
      </c>
    </row>
    <row r="566" spans="6:6" x14ac:dyDescent="0.25">
      <c r="F566" s="5">
        <v>564</v>
      </c>
    </row>
    <row r="567" spans="6:6" x14ac:dyDescent="0.25">
      <c r="F567" s="5">
        <v>565</v>
      </c>
    </row>
    <row r="568" spans="6:6" x14ac:dyDescent="0.25">
      <c r="F568" s="5">
        <v>566</v>
      </c>
    </row>
    <row r="569" spans="6:6" x14ac:dyDescent="0.25">
      <c r="F569" s="5">
        <v>567</v>
      </c>
    </row>
    <row r="570" spans="6:6" x14ac:dyDescent="0.25">
      <c r="F570" s="5">
        <v>568</v>
      </c>
    </row>
    <row r="571" spans="6:6" x14ac:dyDescent="0.25">
      <c r="F571" s="5">
        <v>569</v>
      </c>
    </row>
    <row r="572" spans="6:6" x14ac:dyDescent="0.25">
      <c r="F572" s="5">
        <v>570</v>
      </c>
    </row>
    <row r="573" spans="6:6" x14ac:dyDescent="0.25">
      <c r="F573" s="5">
        <v>571</v>
      </c>
    </row>
    <row r="574" spans="6:6" x14ac:dyDescent="0.25">
      <c r="F574" s="5">
        <v>572</v>
      </c>
    </row>
    <row r="575" spans="6:6" x14ac:dyDescent="0.25">
      <c r="F575" s="5">
        <v>573</v>
      </c>
    </row>
    <row r="576" spans="6:6" x14ac:dyDescent="0.25">
      <c r="F576" s="5">
        <v>574</v>
      </c>
    </row>
    <row r="577" spans="6:6" x14ac:dyDescent="0.25">
      <c r="F577" s="5">
        <v>575</v>
      </c>
    </row>
    <row r="578" spans="6:6" x14ac:dyDescent="0.25">
      <c r="F578" s="5">
        <v>576</v>
      </c>
    </row>
    <row r="579" spans="6:6" x14ac:dyDescent="0.25">
      <c r="F579" s="5">
        <v>577</v>
      </c>
    </row>
    <row r="580" spans="6:6" x14ac:dyDescent="0.25">
      <c r="F580" s="5">
        <v>578</v>
      </c>
    </row>
    <row r="581" spans="6:6" x14ac:dyDescent="0.25">
      <c r="F581" s="5">
        <v>579</v>
      </c>
    </row>
    <row r="582" spans="6:6" x14ac:dyDescent="0.25">
      <c r="F582" s="5">
        <v>580</v>
      </c>
    </row>
    <row r="583" spans="6:6" x14ac:dyDescent="0.25">
      <c r="F583" s="5">
        <v>581</v>
      </c>
    </row>
    <row r="584" spans="6:6" x14ac:dyDescent="0.25">
      <c r="F584" s="5">
        <v>582</v>
      </c>
    </row>
    <row r="585" spans="6:6" x14ac:dyDescent="0.25">
      <c r="F585" s="5">
        <v>583</v>
      </c>
    </row>
    <row r="586" spans="6:6" x14ac:dyDescent="0.25">
      <c r="F586" s="5">
        <v>584</v>
      </c>
    </row>
    <row r="587" spans="6:6" x14ac:dyDescent="0.25">
      <c r="F587" s="5">
        <v>585</v>
      </c>
    </row>
    <row r="588" spans="6:6" x14ac:dyDescent="0.25">
      <c r="F588" s="5">
        <v>586</v>
      </c>
    </row>
    <row r="589" spans="6:6" x14ac:dyDescent="0.25">
      <c r="F589" s="5">
        <v>587</v>
      </c>
    </row>
    <row r="590" spans="6:6" x14ac:dyDescent="0.25">
      <c r="F590" s="5">
        <v>588</v>
      </c>
    </row>
    <row r="591" spans="6:6" x14ac:dyDescent="0.25">
      <c r="F591" s="5">
        <v>589</v>
      </c>
    </row>
    <row r="592" spans="6:6" x14ac:dyDescent="0.25">
      <c r="F592" s="5">
        <v>590</v>
      </c>
    </row>
    <row r="593" spans="6:6" x14ac:dyDescent="0.25">
      <c r="F593" s="5">
        <v>591</v>
      </c>
    </row>
    <row r="594" spans="6:6" x14ac:dyDescent="0.25">
      <c r="F594" s="5">
        <v>592</v>
      </c>
    </row>
    <row r="595" spans="6:6" x14ac:dyDescent="0.25">
      <c r="F595" s="5">
        <v>593</v>
      </c>
    </row>
    <row r="596" spans="6:6" x14ac:dyDescent="0.25">
      <c r="F596" s="5">
        <v>594</v>
      </c>
    </row>
    <row r="597" spans="6:6" x14ac:dyDescent="0.25">
      <c r="F597" s="5">
        <v>595</v>
      </c>
    </row>
    <row r="598" spans="6:6" x14ac:dyDescent="0.25">
      <c r="F598" s="5">
        <v>596</v>
      </c>
    </row>
    <row r="599" spans="6:6" x14ac:dyDescent="0.25">
      <c r="F599" s="5">
        <v>597</v>
      </c>
    </row>
    <row r="600" spans="6:6" x14ac:dyDescent="0.25">
      <c r="F600" s="5">
        <v>598</v>
      </c>
    </row>
    <row r="601" spans="6:6" x14ac:dyDescent="0.25">
      <c r="F601" s="5">
        <v>599</v>
      </c>
    </row>
    <row r="602" spans="6:6" x14ac:dyDescent="0.25">
      <c r="F602" s="5">
        <v>600</v>
      </c>
    </row>
    <row r="603" spans="6:6" x14ac:dyDescent="0.25">
      <c r="F603" s="5">
        <v>601</v>
      </c>
    </row>
    <row r="604" spans="6:6" x14ac:dyDescent="0.25">
      <c r="F604" s="5">
        <v>602</v>
      </c>
    </row>
    <row r="605" spans="6:6" x14ac:dyDescent="0.25">
      <c r="F605" s="5">
        <v>603</v>
      </c>
    </row>
    <row r="606" spans="6:6" x14ac:dyDescent="0.25">
      <c r="F606" s="5">
        <v>604</v>
      </c>
    </row>
    <row r="607" spans="6:6" x14ac:dyDescent="0.25">
      <c r="F607" s="5">
        <v>605</v>
      </c>
    </row>
    <row r="608" spans="6:6" x14ac:dyDescent="0.25">
      <c r="F608" s="5">
        <v>606</v>
      </c>
    </row>
    <row r="609" spans="6:6" x14ac:dyDescent="0.25">
      <c r="F609" s="5">
        <v>607</v>
      </c>
    </row>
    <row r="610" spans="6:6" x14ac:dyDescent="0.25">
      <c r="F610" s="5">
        <v>608</v>
      </c>
    </row>
    <row r="611" spans="6:6" x14ac:dyDescent="0.25">
      <c r="F611" s="5">
        <v>609</v>
      </c>
    </row>
    <row r="612" spans="6:6" x14ac:dyDescent="0.25">
      <c r="F612" s="5">
        <v>610</v>
      </c>
    </row>
    <row r="613" spans="6:6" x14ac:dyDescent="0.25">
      <c r="F613" s="5">
        <v>611</v>
      </c>
    </row>
    <row r="614" spans="6:6" x14ac:dyDescent="0.25">
      <c r="F614" s="5">
        <v>612</v>
      </c>
    </row>
    <row r="615" spans="6:6" x14ac:dyDescent="0.25">
      <c r="F615" s="5">
        <v>613</v>
      </c>
    </row>
    <row r="616" spans="6:6" x14ac:dyDescent="0.25">
      <c r="F616" s="5">
        <v>614</v>
      </c>
    </row>
    <row r="617" spans="6:6" x14ac:dyDescent="0.25">
      <c r="F617" s="5">
        <v>615</v>
      </c>
    </row>
    <row r="618" spans="6:6" x14ac:dyDescent="0.25">
      <c r="F618" s="5">
        <v>616</v>
      </c>
    </row>
    <row r="619" spans="6:6" x14ac:dyDescent="0.25">
      <c r="F619" s="5">
        <v>617</v>
      </c>
    </row>
    <row r="620" spans="6:6" x14ac:dyDescent="0.25">
      <c r="F620" s="5">
        <v>618</v>
      </c>
    </row>
    <row r="621" spans="6:6" x14ac:dyDescent="0.25">
      <c r="F621" s="5">
        <v>619</v>
      </c>
    </row>
    <row r="622" spans="6:6" x14ac:dyDescent="0.25">
      <c r="F622" s="5">
        <v>620</v>
      </c>
    </row>
    <row r="623" spans="6:6" x14ac:dyDescent="0.25">
      <c r="F623" s="5">
        <v>621</v>
      </c>
    </row>
    <row r="624" spans="6:6" x14ac:dyDescent="0.25">
      <c r="F624" s="5">
        <v>622</v>
      </c>
    </row>
    <row r="625" spans="6:6" x14ac:dyDescent="0.25">
      <c r="F625" s="5">
        <v>623</v>
      </c>
    </row>
    <row r="626" spans="6:6" x14ac:dyDescent="0.25">
      <c r="F626" s="5">
        <v>624</v>
      </c>
    </row>
    <row r="627" spans="6:6" x14ac:dyDescent="0.25">
      <c r="F627" s="5">
        <v>625</v>
      </c>
    </row>
    <row r="628" spans="6:6" x14ac:dyDescent="0.25">
      <c r="F628" s="5">
        <v>626</v>
      </c>
    </row>
    <row r="629" spans="6:6" x14ac:dyDescent="0.25">
      <c r="F629" s="5">
        <v>627</v>
      </c>
    </row>
    <row r="630" spans="6:6" x14ac:dyDescent="0.25">
      <c r="F630" s="5">
        <v>628</v>
      </c>
    </row>
    <row r="631" spans="6:6" x14ac:dyDescent="0.25">
      <c r="F631" s="5">
        <v>629</v>
      </c>
    </row>
    <row r="632" spans="6:6" x14ac:dyDescent="0.25">
      <c r="F632" s="5">
        <v>630</v>
      </c>
    </row>
    <row r="633" spans="6:6" x14ac:dyDescent="0.25">
      <c r="F633" s="5">
        <v>631</v>
      </c>
    </row>
    <row r="634" spans="6:6" x14ac:dyDescent="0.25">
      <c r="F634" s="5">
        <v>632</v>
      </c>
    </row>
    <row r="635" spans="6:6" x14ac:dyDescent="0.25">
      <c r="F635" s="5">
        <v>633</v>
      </c>
    </row>
    <row r="636" spans="6:6" x14ac:dyDescent="0.25">
      <c r="F636" s="5">
        <v>634</v>
      </c>
    </row>
    <row r="637" spans="6:6" x14ac:dyDescent="0.25">
      <c r="F637" s="5">
        <v>635</v>
      </c>
    </row>
    <row r="638" spans="6:6" x14ac:dyDescent="0.25">
      <c r="F638" s="5">
        <v>636</v>
      </c>
    </row>
    <row r="639" spans="6:6" x14ac:dyDescent="0.25">
      <c r="F639" s="5">
        <v>637</v>
      </c>
    </row>
    <row r="640" spans="6:6" x14ac:dyDescent="0.25">
      <c r="F640" s="5">
        <v>638</v>
      </c>
    </row>
    <row r="641" spans="6:6" x14ac:dyDescent="0.25">
      <c r="F641" s="5">
        <v>639</v>
      </c>
    </row>
    <row r="642" spans="6:6" x14ac:dyDescent="0.25">
      <c r="F642" s="5">
        <v>640</v>
      </c>
    </row>
    <row r="643" spans="6:6" x14ac:dyDescent="0.25">
      <c r="F643" s="5">
        <v>641</v>
      </c>
    </row>
    <row r="644" spans="6:6" x14ac:dyDescent="0.25">
      <c r="F644" s="5">
        <v>642</v>
      </c>
    </row>
    <row r="645" spans="6:6" x14ac:dyDescent="0.25">
      <c r="F645" s="5">
        <v>643</v>
      </c>
    </row>
    <row r="646" spans="6:6" x14ac:dyDescent="0.25">
      <c r="F646" s="5">
        <v>644</v>
      </c>
    </row>
    <row r="647" spans="6:6" x14ac:dyDescent="0.25">
      <c r="F647" s="5">
        <v>645</v>
      </c>
    </row>
    <row r="648" spans="6:6" x14ac:dyDescent="0.25">
      <c r="F648" s="5">
        <v>646</v>
      </c>
    </row>
    <row r="649" spans="6:6" x14ac:dyDescent="0.25">
      <c r="F649" s="5">
        <v>647</v>
      </c>
    </row>
    <row r="650" spans="6:6" x14ac:dyDescent="0.25">
      <c r="F650" s="5">
        <v>648</v>
      </c>
    </row>
    <row r="651" spans="6:6" x14ac:dyDescent="0.25">
      <c r="F651" s="5">
        <v>649</v>
      </c>
    </row>
    <row r="652" spans="6:6" x14ac:dyDescent="0.25">
      <c r="F652" s="5">
        <v>650</v>
      </c>
    </row>
    <row r="653" spans="6:6" x14ac:dyDescent="0.25">
      <c r="F653" s="5">
        <v>651</v>
      </c>
    </row>
    <row r="654" spans="6:6" x14ac:dyDescent="0.25">
      <c r="F654" s="5">
        <v>652</v>
      </c>
    </row>
    <row r="655" spans="6:6" x14ac:dyDescent="0.25">
      <c r="F655" s="5">
        <v>653</v>
      </c>
    </row>
    <row r="656" spans="6:6" x14ac:dyDescent="0.25">
      <c r="F656" s="5">
        <v>654</v>
      </c>
    </row>
    <row r="657" spans="6:6" x14ac:dyDescent="0.25">
      <c r="F657" s="5">
        <v>655</v>
      </c>
    </row>
    <row r="658" spans="6:6" x14ac:dyDescent="0.25">
      <c r="F658" s="5">
        <v>656</v>
      </c>
    </row>
    <row r="659" spans="6:6" x14ac:dyDescent="0.25">
      <c r="F659" s="5">
        <v>657</v>
      </c>
    </row>
    <row r="660" spans="6:6" x14ac:dyDescent="0.25">
      <c r="F660" s="5">
        <v>658</v>
      </c>
    </row>
    <row r="661" spans="6:6" x14ac:dyDescent="0.25">
      <c r="F661" s="5">
        <v>659</v>
      </c>
    </row>
    <row r="662" spans="6:6" x14ac:dyDescent="0.25">
      <c r="F662" s="5">
        <v>660</v>
      </c>
    </row>
    <row r="663" spans="6:6" x14ac:dyDescent="0.25">
      <c r="F663" s="5">
        <v>661</v>
      </c>
    </row>
    <row r="664" spans="6:6" x14ac:dyDescent="0.25">
      <c r="F664" s="5">
        <v>662</v>
      </c>
    </row>
    <row r="665" spans="6:6" x14ac:dyDescent="0.25">
      <c r="F665" s="5">
        <v>663</v>
      </c>
    </row>
    <row r="666" spans="6:6" x14ac:dyDescent="0.25">
      <c r="F666" s="5">
        <v>664</v>
      </c>
    </row>
    <row r="667" spans="6:6" x14ac:dyDescent="0.25">
      <c r="F667" s="5">
        <v>665</v>
      </c>
    </row>
    <row r="668" spans="6:6" x14ac:dyDescent="0.25">
      <c r="F668" s="5">
        <v>666</v>
      </c>
    </row>
    <row r="669" spans="6:6" x14ac:dyDescent="0.25">
      <c r="F669" s="5">
        <v>667</v>
      </c>
    </row>
    <row r="670" spans="6:6" x14ac:dyDescent="0.25">
      <c r="F670" s="5">
        <v>668</v>
      </c>
    </row>
    <row r="671" spans="6:6" x14ac:dyDescent="0.25">
      <c r="F671" s="5">
        <v>669</v>
      </c>
    </row>
    <row r="672" spans="6:6" x14ac:dyDescent="0.25">
      <c r="F672" s="5">
        <v>670</v>
      </c>
    </row>
    <row r="673" spans="6:6" x14ac:dyDescent="0.25">
      <c r="F673" s="5">
        <v>671</v>
      </c>
    </row>
    <row r="674" spans="6:6" x14ac:dyDescent="0.25">
      <c r="F674" s="5">
        <v>672</v>
      </c>
    </row>
    <row r="675" spans="6:6" x14ac:dyDescent="0.25">
      <c r="F675" s="5">
        <v>673</v>
      </c>
    </row>
    <row r="676" spans="6:6" x14ac:dyDescent="0.25">
      <c r="F676" s="5">
        <v>674</v>
      </c>
    </row>
    <row r="677" spans="6:6" x14ac:dyDescent="0.25">
      <c r="F677" s="5">
        <v>675</v>
      </c>
    </row>
    <row r="678" spans="6:6" x14ac:dyDescent="0.25">
      <c r="F678" s="5">
        <v>676</v>
      </c>
    </row>
    <row r="679" spans="6:6" x14ac:dyDescent="0.25">
      <c r="F679" s="5">
        <v>677</v>
      </c>
    </row>
    <row r="680" spans="6:6" x14ac:dyDescent="0.25">
      <c r="F680" s="5">
        <v>678</v>
      </c>
    </row>
    <row r="681" spans="6:6" x14ac:dyDescent="0.25">
      <c r="F681" s="5">
        <v>679</v>
      </c>
    </row>
    <row r="682" spans="6:6" x14ac:dyDescent="0.25">
      <c r="F682" s="5">
        <v>680</v>
      </c>
    </row>
    <row r="683" spans="6:6" x14ac:dyDescent="0.25">
      <c r="F683" s="5">
        <v>681</v>
      </c>
    </row>
    <row r="684" spans="6:6" x14ac:dyDescent="0.25">
      <c r="F684" s="5">
        <v>682</v>
      </c>
    </row>
    <row r="685" spans="6:6" x14ac:dyDescent="0.25">
      <c r="F685" s="5">
        <v>683</v>
      </c>
    </row>
    <row r="686" spans="6:6" x14ac:dyDescent="0.25">
      <c r="F686" s="5">
        <v>684</v>
      </c>
    </row>
    <row r="687" spans="6:6" x14ac:dyDescent="0.25">
      <c r="F687" s="5">
        <v>685</v>
      </c>
    </row>
    <row r="688" spans="6:6" x14ac:dyDescent="0.25">
      <c r="F688" s="5">
        <v>686</v>
      </c>
    </row>
    <row r="689" spans="6:6" x14ac:dyDescent="0.25">
      <c r="F689" s="5">
        <v>687</v>
      </c>
    </row>
    <row r="690" spans="6:6" x14ac:dyDescent="0.25">
      <c r="F690" s="5">
        <v>688</v>
      </c>
    </row>
    <row r="691" spans="6:6" x14ac:dyDescent="0.25">
      <c r="F691" s="5">
        <v>689</v>
      </c>
    </row>
    <row r="692" spans="6:6" x14ac:dyDescent="0.25">
      <c r="F692" s="5">
        <v>690</v>
      </c>
    </row>
    <row r="693" spans="6:6" x14ac:dyDescent="0.25">
      <c r="F693" s="5">
        <v>691</v>
      </c>
    </row>
    <row r="694" spans="6:6" x14ac:dyDescent="0.25">
      <c r="F694" s="5">
        <v>692</v>
      </c>
    </row>
    <row r="695" spans="6:6" x14ac:dyDescent="0.25">
      <c r="F695" s="5">
        <v>693</v>
      </c>
    </row>
    <row r="696" spans="6:6" x14ac:dyDescent="0.25">
      <c r="F696" s="5">
        <v>694</v>
      </c>
    </row>
    <row r="697" spans="6:6" x14ac:dyDescent="0.25">
      <c r="F697" s="5">
        <v>695</v>
      </c>
    </row>
    <row r="698" spans="6:6" x14ac:dyDescent="0.25">
      <c r="F698" s="5">
        <v>696</v>
      </c>
    </row>
    <row r="699" spans="6:6" x14ac:dyDescent="0.25">
      <c r="F699" s="5">
        <v>697</v>
      </c>
    </row>
    <row r="700" spans="6:6" x14ac:dyDescent="0.25">
      <c r="F700" s="5">
        <v>698</v>
      </c>
    </row>
    <row r="701" spans="6:6" x14ac:dyDescent="0.25">
      <c r="F701" s="5">
        <v>699</v>
      </c>
    </row>
    <row r="702" spans="6:6" x14ac:dyDescent="0.25">
      <c r="F702" s="5">
        <v>700</v>
      </c>
    </row>
    <row r="703" spans="6:6" x14ac:dyDescent="0.25">
      <c r="F703" s="5">
        <v>701</v>
      </c>
    </row>
    <row r="704" spans="6:6" x14ac:dyDescent="0.25">
      <c r="F704" s="5">
        <v>702</v>
      </c>
    </row>
    <row r="705" spans="6:6" x14ac:dyDescent="0.25">
      <c r="F705" s="5">
        <v>703</v>
      </c>
    </row>
    <row r="706" spans="6:6" x14ac:dyDescent="0.25">
      <c r="F706" s="5">
        <v>704</v>
      </c>
    </row>
    <row r="707" spans="6:6" x14ac:dyDescent="0.25">
      <c r="F707" s="5">
        <v>705</v>
      </c>
    </row>
    <row r="708" spans="6:6" x14ac:dyDescent="0.25">
      <c r="F708" s="5">
        <v>706</v>
      </c>
    </row>
    <row r="709" spans="6:6" x14ac:dyDescent="0.25">
      <c r="F709" s="5">
        <v>707</v>
      </c>
    </row>
    <row r="710" spans="6:6" x14ac:dyDescent="0.25">
      <c r="F710" s="5">
        <v>708</v>
      </c>
    </row>
    <row r="711" spans="6:6" x14ac:dyDescent="0.25">
      <c r="F711" s="5">
        <v>709</v>
      </c>
    </row>
    <row r="712" spans="6:6" x14ac:dyDescent="0.25">
      <c r="F712" s="5">
        <v>710</v>
      </c>
    </row>
    <row r="713" spans="6:6" x14ac:dyDescent="0.25">
      <c r="F713" s="5">
        <v>711</v>
      </c>
    </row>
    <row r="714" spans="6:6" x14ac:dyDescent="0.25">
      <c r="F714" s="5">
        <v>712</v>
      </c>
    </row>
    <row r="715" spans="6:6" x14ac:dyDescent="0.25">
      <c r="F715" s="5">
        <v>713</v>
      </c>
    </row>
    <row r="716" spans="6:6" x14ac:dyDescent="0.25">
      <c r="F716" s="5">
        <v>714</v>
      </c>
    </row>
    <row r="717" spans="6:6" x14ac:dyDescent="0.25">
      <c r="F717" s="5">
        <v>715</v>
      </c>
    </row>
    <row r="718" spans="6:6" x14ac:dyDescent="0.25">
      <c r="F718" s="5">
        <v>716</v>
      </c>
    </row>
    <row r="719" spans="6:6" x14ac:dyDescent="0.25">
      <c r="F719" s="5">
        <v>717</v>
      </c>
    </row>
    <row r="720" spans="6:6" x14ac:dyDescent="0.25">
      <c r="F720" s="5">
        <v>718</v>
      </c>
    </row>
    <row r="721" spans="6:6" x14ac:dyDescent="0.25">
      <c r="F721" s="5">
        <v>719</v>
      </c>
    </row>
    <row r="722" spans="6:6" x14ac:dyDescent="0.25">
      <c r="F722" s="5">
        <v>720</v>
      </c>
    </row>
    <row r="723" spans="6:6" x14ac:dyDescent="0.25">
      <c r="F723" s="5">
        <v>721</v>
      </c>
    </row>
    <row r="724" spans="6:6" x14ac:dyDescent="0.25">
      <c r="F724" s="5">
        <v>722</v>
      </c>
    </row>
    <row r="725" spans="6:6" x14ac:dyDescent="0.25">
      <c r="F725" s="5">
        <v>723</v>
      </c>
    </row>
    <row r="726" spans="6:6" x14ac:dyDescent="0.25">
      <c r="F726" s="5">
        <v>724</v>
      </c>
    </row>
    <row r="727" spans="6:6" x14ac:dyDescent="0.25">
      <c r="F727" s="5">
        <v>725</v>
      </c>
    </row>
    <row r="728" spans="6:6" x14ac:dyDescent="0.25">
      <c r="F728" s="5">
        <v>726</v>
      </c>
    </row>
    <row r="729" spans="6:6" x14ac:dyDescent="0.25">
      <c r="F729" s="5">
        <v>727</v>
      </c>
    </row>
    <row r="730" spans="6:6" x14ac:dyDescent="0.25">
      <c r="F730" s="5">
        <v>728</v>
      </c>
    </row>
    <row r="731" spans="6:6" x14ac:dyDescent="0.25">
      <c r="F731" s="5">
        <v>729</v>
      </c>
    </row>
    <row r="732" spans="6:6" x14ac:dyDescent="0.25">
      <c r="F732" s="5">
        <v>730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10</vt:i4>
      </vt:variant>
    </vt:vector>
  </HeadingPairs>
  <TitlesOfParts>
    <vt:vector size="15" baseType="lpstr">
      <vt:lpstr>Instrucciones</vt:lpstr>
      <vt:lpstr>1. Datos del área</vt:lpstr>
      <vt:lpstr>2. Actividades</vt:lpstr>
      <vt:lpstr>Ejemplos</vt:lpstr>
      <vt:lpstr>Listas</vt:lpstr>
      <vt:lpstr>CalendarioPrincipal</vt:lpstr>
      <vt:lpstr>Dias</vt:lpstr>
      <vt:lpstr>Festivos</vt:lpstr>
      <vt:lpstr>Lista_Areas</vt:lpstr>
      <vt:lpstr>Lista_Calendario</vt:lpstr>
      <vt:lpstr>Lista_Categoria</vt:lpstr>
      <vt:lpstr>Lista_Repite</vt:lpstr>
      <vt:lpstr>Lista_Sede</vt:lpstr>
      <vt:lpstr>Lista_UnidadLider</vt:lpstr>
      <vt:lpstr>SedePrincipal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ESTADÍSTICA PLANEACIÓN INSTITUCIONAL UCUNDINAMARCA</cp:lastModifiedBy>
  <dcterms:created xsi:type="dcterms:W3CDTF">2026-09-25T15:27:15Z</dcterms:created>
  <dcterms:modified xsi:type="dcterms:W3CDTF">2026-10-01T13:39:56Z</dcterms:modified>
</cp:coreProperties>
</file>